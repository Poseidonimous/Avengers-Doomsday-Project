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พี่อีฟ\0. งบประมาณปี 2569\4.ข้อมูลในไดร์ฟ\1.จัดหางานในประเทศ\2569\8.ส.ค.69\ที่ถูก ต.4+9+15\"/>
    </mc:Choice>
  </mc:AlternateContent>
  <xr:revisionPtr revIDLastSave="0" documentId="13_ncr:1_{E0ADF5A1-7AA8-4964-A067-7A1B03D8A6C7}" xr6:coauthVersionLast="47" xr6:coauthVersionMax="47" xr10:uidLastSave="{00000000-0000-0000-0000-000000000000}"/>
  <bookViews>
    <workbookView xWindow="2535" yWindow="1770" windowWidth="28800" windowHeight="13470" xr2:uid="{00000000-000D-0000-FFFF-FFFF00000000}"/>
  </bookViews>
  <sheets>
    <sheet name="Monthly" sheetId="5" r:id="rId1"/>
    <sheet name="CSV" sheetId="6" r:id="rId2"/>
    <sheet name="Data Dic" sheetId="7" r:id="rId3"/>
  </sheets>
  <definedNames>
    <definedName name="_xlnm.Print_Titles" localSheetId="0">Monthly!$A:$B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X5" i="5" l="1"/>
  <c r="EW5" i="5"/>
  <c r="EV14" i="5"/>
  <c r="EV5" i="5"/>
  <c r="EU14" i="5"/>
  <c r="ET14" i="5"/>
  <c r="ET5" i="5" s="1"/>
  <c r="EU5" i="5"/>
  <c r="ES14" i="5"/>
  <c r="ES5" i="5"/>
  <c r="N158" i="6" l="1"/>
  <c r="M158" i="6"/>
  <c r="L158" i="6"/>
  <c r="K158" i="6"/>
  <c r="J158" i="6"/>
  <c r="I158" i="6"/>
  <c r="H158" i="6"/>
  <c r="G158" i="6"/>
  <c r="F158" i="6"/>
  <c r="E158" i="6"/>
  <c r="D158" i="6"/>
  <c r="C158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ER5" i="5"/>
  <c r="C148" i="6" s="1"/>
  <c r="EQ5" i="5"/>
  <c r="EP14" i="5"/>
  <c r="EO14" i="5"/>
  <c r="EN14" i="5"/>
  <c r="EM14" i="5"/>
  <c r="EL14" i="5"/>
  <c r="EL5" i="5" s="1"/>
  <c r="EK14" i="5"/>
  <c r="EK5" i="5" s="1"/>
  <c r="EP5" i="5"/>
  <c r="EO5" i="5"/>
  <c r="EN5" i="5"/>
  <c r="EM5" i="5"/>
  <c r="EJ14" i="5"/>
  <c r="EJ5" i="5" s="1"/>
  <c r="EI5" i="5"/>
  <c r="EH5" i="5" l="1"/>
  <c r="EG5" i="5"/>
  <c r="EF5" i="5"/>
  <c r="EE5" i="5" l="1"/>
  <c r="ED14" i="5" l="1"/>
  <c r="DS5" i="5"/>
  <c r="DT5" i="5"/>
  <c r="C124" i="6" s="1"/>
  <c r="DU5" i="5"/>
  <c r="C125" i="6" s="1"/>
  <c r="DV5" i="5"/>
  <c r="C126" i="6" s="1"/>
  <c r="DW5" i="5"/>
  <c r="C127" i="6" s="1"/>
  <c r="DX5" i="5"/>
  <c r="C128" i="6" s="1"/>
  <c r="DY5" i="5"/>
  <c r="C129" i="6" s="1"/>
  <c r="DZ5" i="5"/>
  <c r="C130" i="6" s="1"/>
  <c r="EA5" i="5"/>
  <c r="C131" i="6" s="1"/>
  <c r="EB5" i="5"/>
  <c r="C132" i="6" s="1"/>
  <c r="EC5" i="5"/>
  <c r="C133" i="6" s="1"/>
  <c r="ED5" i="5"/>
  <c r="C134" i="6" s="1"/>
  <c r="D111" i="6"/>
  <c r="E111" i="6"/>
  <c r="F111" i="6"/>
  <c r="G111" i="6"/>
  <c r="H111" i="6"/>
  <c r="I111" i="6"/>
  <c r="J111" i="6"/>
  <c r="K111" i="6"/>
  <c r="L111" i="6"/>
  <c r="M111" i="6"/>
  <c r="N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D113" i="6"/>
  <c r="E113" i="6"/>
  <c r="F113" i="6"/>
  <c r="G113" i="6"/>
  <c r="H113" i="6"/>
  <c r="I113" i="6"/>
  <c r="J113" i="6"/>
  <c r="K113" i="6"/>
  <c r="L113" i="6"/>
  <c r="M113" i="6"/>
  <c r="N113" i="6"/>
  <c r="D114" i="6"/>
  <c r="E114" i="6"/>
  <c r="F114" i="6"/>
  <c r="G114" i="6"/>
  <c r="H114" i="6"/>
  <c r="I114" i="6"/>
  <c r="J114" i="6"/>
  <c r="K114" i="6"/>
  <c r="L114" i="6"/>
  <c r="M114" i="6"/>
  <c r="N114" i="6"/>
  <c r="D115" i="6"/>
  <c r="E115" i="6"/>
  <c r="F115" i="6"/>
  <c r="G115" i="6"/>
  <c r="H115" i="6"/>
  <c r="I115" i="6"/>
  <c r="J115" i="6"/>
  <c r="K115" i="6"/>
  <c r="L115" i="6"/>
  <c r="M115" i="6"/>
  <c r="N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D118" i="6"/>
  <c r="E118" i="6"/>
  <c r="F118" i="6"/>
  <c r="G118" i="6"/>
  <c r="H118" i="6"/>
  <c r="I118" i="6"/>
  <c r="J118" i="6"/>
  <c r="K118" i="6"/>
  <c r="L118" i="6"/>
  <c r="M118" i="6"/>
  <c r="N118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D120" i="6"/>
  <c r="E120" i="6"/>
  <c r="F120" i="6"/>
  <c r="G120" i="6"/>
  <c r="H120" i="6"/>
  <c r="I120" i="6"/>
  <c r="J120" i="6"/>
  <c r="K120" i="6"/>
  <c r="L120" i="6"/>
  <c r="M120" i="6"/>
  <c r="N120" i="6"/>
  <c r="D121" i="6"/>
  <c r="E121" i="6"/>
  <c r="F121" i="6"/>
  <c r="G121" i="6"/>
  <c r="H121" i="6"/>
  <c r="I121" i="6"/>
  <c r="J121" i="6"/>
  <c r="K121" i="6"/>
  <c r="L121" i="6"/>
  <c r="M121" i="6"/>
  <c r="N121" i="6"/>
  <c r="D122" i="6"/>
  <c r="E122" i="6"/>
  <c r="F122" i="6"/>
  <c r="G122" i="6"/>
  <c r="H122" i="6"/>
  <c r="I122" i="6"/>
  <c r="J122" i="6"/>
  <c r="K122" i="6"/>
  <c r="L122" i="6"/>
  <c r="M122" i="6"/>
  <c r="N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D124" i="6"/>
  <c r="E124" i="6"/>
  <c r="F124" i="6"/>
  <c r="G124" i="6"/>
  <c r="H124" i="6"/>
  <c r="I124" i="6"/>
  <c r="J124" i="6"/>
  <c r="K124" i="6"/>
  <c r="L124" i="6"/>
  <c r="M124" i="6"/>
  <c r="N124" i="6"/>
  <c r="D125" i="6"/>
  <c r="E125" i="6"/>
  <c r="F125" i="6"/>
  <c r="G125" i="6"/>
  <c r="H125" i="6"/>
  <c r="I125" i="6"/>
  <c r="J125" i="6"/>
  <c r="K125" i="6"/>
  <c r="L125" i="6"/>
  <c r="M125" i="6"/>
  <c r="N125" i="6"/>
  <c r="D126" i="6"/>
  <c r="E126" i="6"/>
  <c r="F126" i="6"/>
  <c r="G126" i="6"/>
  <c r="H126" i="6"/>
  <c r="I126" i="6"/>
  <c r="J126" i="6"/>
  <c r="K126" i="6"/>
  <c r="L126" i="6"/>
  <c r="M126" i="6"/>
  <c r="N126" i="6"/>
  <c r="D127" i="6"/>
  <c r="E127" i="6"/>
  <c r="F127" i="6"/>
  <c r="G127" i="6"/>
  <c r="H127" i="6"/>
  <c r="I127" i="6"/>
  <c r="J127" i="6"/>
  <c r="K127" i="6"/>
  <c r="L127" i="6"/>
  <c r="M127" i="6"/>
  <c r="N127" i="6"/>
  <c r="D128" i="6"/>
  <c r="E128" i="6"/>
  <c r="F128" i="6"/>
  <c r="G128" i="6"/>
  <c r="H128" i="6"/>
  <c r="I128" i="6"/>
  <c r="J128" i="6"/>
  <c r="K128" i="6"/>
  <c r="L128" i="6"/>
  <c r="M128" i="6"/>
  <c r="N128" i="6"/>
  <c r="D129" i="6"/>
  <c r="E129" i="6"/>
  <c r="F129" i="6"/>
  <c r="G129" i="6"/>
  <c r="H129" i="6"/>
  <c r="I129" i="6"/>
  <c r="J129" i="6"/>
  <c r="K129" i="6"/>
  <c r="L129" i="6"/>
  <c r="M129" i="6"/>
  <c r="N129" i="6"/>
  <c r="D130" i="6"/>
  <c r="E130" i="6"/>
  <c r="F130" i="6"/>
  <c r="G130" i="6"/>
  <c r="H130" i="6"/>
  <c r="I130" i="6"/>
  <c r="J130" i="6"/>
  <c r="K130" i="6"/>
  <c r="L130" i="6"/>
  <c r="M130" i="6"/>
  <c r="N130" i="6"/>
  <c r="D131" i="6"/>
  <c r="E131" i="6"/>
  <c r="F131" i="6"/>
  <c r="G131" i="6"/>
  <c r="H131" i="6"/>
  <c r="I131" i="6"/>
  <c r="J131" i="6"/>
  <c r="K131" i="6"/>
  <c r="L131" i="6"/>
  <c r="M131" i="6"/>
  <c r="N131" i="6"/>
  <c r="D132" i="6"/>
  <c r="E132" i="6"/>
  <c r="F132" i="6"/>
  <c r="G132" i="6"/>
  <c r="H132" i="6"/>
  <c r="I132" i="6"/>
  <c r="J132" i="6"/>
  <c r="K132" i="6"/>
  <c r="L132" i="6"/>
  <c r="M132" i="6"/>
  <c r="N132" i="6"/>
  <c r="D133" i="6"/>
  <c r="E133" i="6"/>
  <c r="F133" i="6"/>
  <c r="G133" i="6"/>
  <c r="H133" i="6"/>
  <c r="I133" i="6"/>
  <c r="J133" i="6"/>
  <c r="K133" i="6"/>
  <c r="L133" i="6"/>
  <c r="M133" i="6"/>
  <c r="N133" i="6"/>
  <c r="D134" i="6"/>
  <c r="E134" i="6"/>
  <c r="F134" i="6"/>
  <c r="G134" i="6"/>
  <c r="H134" i="6"/>
  <c r="I134" i="6"/>
  <c r="J134" i="6"/>
  <c r="K134" i="6"/>
  <c r="L134" i="6"/>
  <c r="M134" i="6"/>
  <c r="N134" i="6"/>
  <c r="DH5" i="5"/>
  <c r="DI5" i="5"/>
  <c r="C113" i="6" s="1"/>
  <c r="DJ5" i="5"/>
  <c r="C114" i="6" s="1"/>
  <c r="DK5" i="5"/>
  <c r="C115" i="6" s="1"/>
  <c r="DL5" i="5"/>
  <c r="DM5" i="5"/>
  <c r="DN5" i="5"/>
  <c r="C118" i="6" s="1"/>
  <c r="DO5" i="5"/>
  <c r="DP5" i="5"/>
  <c r="C120" i="6" s="1"/>
  <c r="DQ5" i="5"/>
  <c r="C121" i="6" s="1"/>
  <c r="DR5" i="5"/>
  <c r="C122" i="6" s="1"/>
  <c r="DG5" i="5"/>
  <c r="C111" i="6" s="1"/>
  <c r="N110" i="6"/>
  <c r="M110" i="6"/>
  <c r="L110" i="6"/>
  <c r="K110" i="6"/>
  <c r="J110" i="6"/>
  <c r="I110" i="6"/>
  <c r="H110" i="6"/>
  <c r="G110" i="6"/>
  <c r="F110" i="6"/>
  <c r="E110" i="6"/>
  <c r="D110" i="6"/>
  <c r="N109" i="6"/>
  <c r="M109" i="6"/>
  <c r="L109" i="6"/>
  <c r="K109" i="6"/>
  <c r="J109" i="6"/>
  <c r="I109" i="6"/>
  <c r="H109" i="6"/>
  <c r="G109" i="6"/>
  <c r="F109" i="6"/>
  <c r="E109" i="6"/>
  <c r="D109" i="6"/>
  <c r="N108" i="6"/>
  <c r="M108" i="6"/>
  <c r="L108" i="6"/>
  <c r="K108" i="6"/>
  <c r="J108" i="6"/>
  <c r="I108" i="6"/>
  <c r="H108" i="6"/>
  <c r="G108" i="6"/>
  <c r="F108" i="6"/>
  <c r="E108" i="6"/>
  <c r="D108" i="6"/>
  <c r="N107" i="6"/>
  <c r="M107" i="6"/>
  <c r="L107" i="6"/>
  <c r="K107" i="6"/>
  <c r="J107" i="6"/>
  <c r="I107" i="6"/>
  <c r="H107" i="6"/>
  <c r="G107" i="6"/>
  <c r="F107" i="6"/>
  <c r="E107" i="6"/>
  <c r="D107" i="6"/>
  <c r="N106" i="6"/>
  <c r="M106" i="6"/>
  <c r="L106" i="6"/>
  <c r="K106" i="6"/>
  <c r="J106" i="6"/>
  <c r="I106" i="6"/>
  <c r="H106" i="6"/>
  <c r="G106" i="6"/>
  <c r="F106" i="6"/>
  <c r="E106" i="6"/>
  <c r="D106" i="6"/>
  <c r="N105" i="6"/>
  <c r="M105" i="6"/>
  <c r="L105" i="6"/>
  <c r="K105" i="6"/>
  <c r="J105" i="6"/>
  <c r="I105" i="6"/>
  <c r="H105" i="6"/>
  <c r="G105" i="6"/>
  <c r="F105" i="6"/>
  <c r="E105" i="6"/>
  <c r="D105" i="6"/>
  <c r="N104" i="6"/>
  <c r="M104" i="6"/>
  <c r="L104" i="6"/>
  <c r="K104" i="6"/>
  <c r="J104" i="6"/>
  <c r="I104" i="6"/>
  <c r="H104" i="6"/>
  <c r="G104" i="6"/>
  <c r="F104" i="6"/>
  <c r="E104" i="6"/>
  <c r="D104" i="6"/>
  <c r="N103" i="6"/>
  <c r="M103" i="6"/>
  <c r="L103" i="6"/>
  <c r="K103" i="6"/>
  <c r="J103" i="6"/>
  <c r="I103" i="6"/>
  <c r="H103" i="6"/>
  <c r="G103" i="6"/>
  <c r="F103" i="6"/>
  <c r="E103" i="6"/>
  <c r="D103" i="6"/>
  <c r="N102" i="6"/>
  <c r="M102" i="6"/>
  <c r="L102" i="6"/>
  <c r="K102" i="6"/>
  <c r="J102" i="6"/>
  <c r="I102" i="6"/>
  <c r="H102" i="6"/>
  <c r="G102" i="6"/>
  <c r="F102" i="6"/>
  <c r="E102" i="6"/>
  <c r="D102" i="6"/>
  <c r="N101" i="6"/>
  <c r="M101" i="6"/>
  <c r="L101" i="6"/>
  <c r="K101" i="6"/>
  <c r="J101" i="6"/>
  <c r="I101" i="6"/>
  <c r="H101" i="6"/>
  <c r="G101" i="6"/>
  <c r="F101" i="6"/>
  <c r="E101" i="6"/>
  <c r="D101" i="6"/>
  <c r="N100" i="6"/>
  <c r="M100" i="6"/>
  <c r="L100" i="6"/>
  <c r="K100" i="6"/>
  <c r="J100" i="6"/>
  <c r="I100" i="6"/>
  <c r="H100" i="6"/>
  <c r="G100" i="6"/>
  <c r="F100" i="6"/>
  <c r="E100" i="6"/>
  <c r="D100" i="6"/>
  <c r="N99" i="6"/>
  <c r="M99" i="6"/>
  <c r="L99" i="6"/>
  <c r="K99" i="6"/>
  <c r="J99" i="6"/>
  <c r="I99" i="6"/>
  <c r="H99" i="6"/>
  <c r="G99" i="6"/>
  <c r="F99" i="6"/>
  <c r="E99" i="6"/>
  <c r="D99" i="6"/>
  <c r="CV5" i="5"/>
  <c r="C100" i="6" s="1"/>
  <c r="CW5" i="5"/>
  <c r="C101" i="6" s="1"/>
  <c r="CX5" i="5"/>
  <c r="C102" i="6" s="1"/>
  <c r="CY5" i="5"/>
  <c r="C103" i="6" s="1"/>
  <c r="CZ5" i="5"/>
  <c r="C104" i="6" s="1"/>
  <c r="DA5" i="5"/>
  <c r="C105" i="6" s="1"/>
  <c r="DB5" i="5"/>
  <c r="C106" i="6" s="1"/>
  <c r="DC5" i="5"/>
  <c r="C107" i="6" s="1"/>
  <c r="DD5" i="5"/>
  <c r="C108" i="6" s="1"/>
  <c r="DE5" i="5"/>
  <c r="C109" i="6" s="1"/>
  <c r="DF5" i="5"/>
  <c r="C110" i="6" s="1"/>
  <c r="CU5" i="5"/>
  <c r="C99" i="6" s="1"/>
  <c r="N98" i="6"/>
  <c r="M98" i="6"/>
  <c r="L98" i="6"/>
  <c r="K98" i="6"/>
  <c r="J98" i="6"/>
  <c r="I98" i="6"/>
  <c r="H98" i="6"/>
  <c r="G98" i="6"/>
  <c r="F98" i="6"/>
  <c r="E98" i="6"/>
  <c r="D98" i="6"/>
  <c r="N97" i="6"/>
  <c r="M97" i="6"/>
  <c r="L97" i="6"/>
  <c r="K97" i="6"/>
  <c r="J97" i="6"/>
  <c r="I97" i="6"/>
  <c r="H97" i="6"/>
  <c r="G97" i="6"/>
  <c r="F97" i="6"/>
  <c r="E97" i="6"/>
  <c r="D97" i="6"/>
  <c r="N96" i="6"/>
  <c r="M96" i="6"/>
  <c r="L96" i="6"/>
  <c r="K96" i="6"/>
  <c r="J96" i="6"/>
  <c r="I96" i="6"/>
  <c r="H96" i="6"/>
  <c r="G96" i="6"/>
  <c r="F96" i="6"/>
  <c r="E96" i="6"/>
  <c r="D96" i="6"/>
  <c r="N95" i="6"/>
  <c r="M95" i="6"/>
  <c r="L95" i="6"/>
  <c r="K95" i="6"/>
  <c r="J95" i="6"/>
  <c r="I95" i="6"/>
  <c r="H95" i="6"/>
  <c r="G95" i="6"/>
  <c r="F95" i="6"/>
  <c r="E95" i="6"/>
  <c r="D95" i="6"/>
  <c r="N94" i="6"/>
  <c r="M94" i="6"/>
  <c r="L94" i="6"/>
  <c r="K94" i="6"/>
  <c r="J94" i="6"/>
  <c r="I94" i="6"/>
  <c r="H94" i="6"/>
  <c r="G94" i="6"/>
  <c r="F94" i="6"/>
  <c r="E94" i="6"/>
  <c r="D94" i="6"/>
  <c r="N93" i="6"/>
  <c r="M93" i="6"/>
  <c r="L93" i="6"/>
  <c r="K93" i="6"/>
  <c r="J93" i="6"/>
  <c r="I93" i="6"/>
  <c r="H93" i="6"/>
  <c r="G93" i="6"/>
  <c r="F93" i="6"/>
  <c r="E93" i="6"/>
  <c r="D93" i="6"/>
  <c r="N92" i="6"/>
  <c r="M92" i="6"/>
  <c r="L92" i="6"/>
  <c r="K92" i="6"/>
  <c r="J92" i="6"/>
  <c r="I92" i="6"/>
  <c r="H92" i="6"/>
  <c r="G92" i="6"/>
  <c r="F92" i="6"/>
  <c r="E92" i="6"/>
  <c r="D92" i="6"/>
  <c r="C91" i="6" l="1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I5" i="5" l="1"/>
  <c r="CJ5" i="5"/>
  <c r="CK5" i="5"/>
  <c r="CL5" i="5"/>
  <c r="CM5" i="5"/>
  <c r="CN5" i="5"/>
  <c r="C92" i="6" s="1"/>
  <c r="CO5" i="5"/>
  <c r="C93" i="6" s="1"/>
  <c r="CP5" i="5"/>
  <c r="C94" i="6" s="1"/>
  <c r="CQ5" i="5"/>
  <c r="C95" i="6" s="1"/>
  <c r="CR5" i="5"/>
  <c r="C96" i="6" s="1"/>
  <c r="CS5" i="5"/>
  <c r="C97" i="6" s="1"/>
  <c r="CT5" i="5"/>
  <c r="C98" i="6" s="1"/>
  <c r="CH5" i="5"/>
  <c r="CG5" i="5" l="1"/>
  <c r="CF5" i="5" l="1"/>
  <c r="CE5" i="5" l="1"/>
  <c r="CD5" i="5" l="1"/>
  <c r="CC5" i="5" l="1"/>
  <c r="CB5" i="5" l="1"/>
  <c r="CA5" i="5" l="1"/>
  <c r="BZ5" i="5" l="1"/>
  <c r="BY5" i="5" l="1"/>
  <c r="BX5" i="5" l="1"/>
  <c r="BW5" i="5" l="1"/>
  <c r="BV5" i="5" l="1"/>
  <c r="BU5" i="5" l="1"/>
  <c r="BT5" i="5" l="1"/>
  <c r="BS5" i="5" l="1"/>
  <c r="BR5" i="5" l="1"/>
  <c r="BN5" i="5" l="1"/>
  <c r="BL5" i="5"/>
  <c r="BQ5" i="5"/>
  <c r="BP5" i="5"/>
  <c r="BO5" i="5" l="1"/>
  <c r="BM5" i="5" l="1"/>
  <c r="C5" i="5" l="1"/>
  <c r="D5" i="5"/>
  <c r="E5" i="5"/>
  <c r="F5" i="5"/>
  <c r="G5" i="5"/>
  <c r="H5" i="5"/>
  <c r="I5" i="5"/>
  <c r="J5" i="5"/>
  <c r="K5" i="5"/>
  <c r="L5" i="5"/>
  <c r="M5" i="5"/>
  <c r="N5" i="5"/>
  <c r="AA5" i="5" l="1"/>
  <c r="AB5" i="5"/>
  <c r="AC5" i="5"/>
  <c r="AD5" i="5"/>
  <c r="AE5" i="5"/>
  <c r="AF5" i="5"/>
  <c r="AG5" i="5"/>
  <c r="AH5" i="5"/>
  <c r="AI5" i="5"/>
  <c r="AJ5" i="5"/>
  <c r="AK5" i="5"/>
  <c r="AL5" i="5"/>
  <c r="O5" i="5"/>
  <c r="P5" i="5"/>
  <c r="Q5" i="5"/>
  <c r="R5" i="5"/>
  <c r="S5" i="5"/>
  <c r="T5" i="5"/>
  <c r="U5" i="5"/>
  <c r="V5" i="5"/>
  <c r="W5" i="5"/>
  <c r="X5" i="5"/>
  <c r="Y5" i="5"/>
  <c r="Z5" i="5"/>
  <c r="AM5" i="5" l="1"/>
  <c r="AN5" i="5"/>
  <c r="AO5" i="5"/>
  <c r="AP5" i="5"/>
  <c r="AQ5" i="5"/>
  <c r="AR5" i="5"/>
  <c r="AS5" i="5"/>
  <c r="AT5" i="5"/>
  <c r="AU5" i="5"/>
  <c r="AV5" i="5"/>
  <c r="AW5" i="5"/>
  <c r="AX5" i="5"/>
  <c r="AY5" i="5" l="1"/>
  <c r="AZ5" i="5"/>
  <c r="BA5" i="5"/>
  <c r="BB5" i="5"/>
  <c r="BC5" i="5"/>
  <c r="BD5" i="5"/>
  <c r="BE5" i="5"/>
  <c r="BF5" i="5"/>
  <c r="BG5" i="5"/>
  <c r="BH5" i="5"/>
  <c r="BI5" i="5"/>
  <c r="BJ5" i="5"/>
  <c r="BK5" i="5" l="1"/>
</calcChain>
</file>

<file path=xl/sharedStrings.xml><?xml version="1.0" encoding="utf-8"?>
<sst xmlns="http://schemas.openxmlformats.org/spreadsheetml/2006/main" count="392" uniqueCount="214">
  <si>
    <t>รวม</t>
  </si>
  <si>
    <t>ผู้บัญญัติกฎหมาย ข้าราชการระดับอาวุโส, ผู้จัดการ</t>
  </si>
  <si>
    <t>ผู้ประกอบวิชาชีพด้านต่าง ๆ</t>
  </si>
  <si>
    <t>ช่างเทคนิคและผู้ปฏิบัติงานที่เกี่ยวข้อง</t>
  </si>
  <si>
    <t>เสมียน  เจ้าหน้าที่</t>
  </si>
  <si>
    <t>พนักงานบริการ  พนักงานขายในร้านค้าและตลาด</t>
  </si>
  <si>
    <t>ผู้ปฏิบัติงานฝีมือด้านการเกษตรและประมง  (แปรรูปขั้นพื้นฐาน)</t>
  </si>
  <si>
    <t>ผู้ปฏิบัติงานโดยใช้ฝีมือในธุรกิจต่าง ๆ</t>
  </si>
  <si>
    <t>ผู้ปฏิบัติงานในโรงงาน  ผู้ควบคุมเครื่องจักรและผู้ปฏิบัติงานด้านการประกอบ</t>
  </si>
  <si>
    <t>อาชีพงานพื้นฐาน</t>
  </si>
  <si>
    <t>ผู้ฝึกงาน</t>
  </si>
  <si>
    <t>รหัส</t>
  </si>
  <si>
    <t>ประเภทอาชีพ</t>
  </si>
  <si>
    <t>X</t>
  </si>
  <si>
    <t>หน่วย : คน</t>
  </si>
  <si>
    <t>ที่มา  :  กรมการจัดหางาน</t>
  </si>
  <si>
    <t xml:space="preserve">รวบรวมโดย : กองบริหารข้อมูลตลาดแรงงาน </t>
  </si>
  <si>
    <t xml:space="preserve">หมายเหตุ  : 1.  เป็นข้อมูลผู้สมัครงานที่มาใช้บริการจัดหางานกับกรมการจัดหางานเท่านั้น  </t>
  </si>
  <si>
    <t xml:space="preserve">                2.  ข้อมูลจากระบบสารสนเทศการจัดหางานในประเทศ กรมการจัดหางาน</t>
  </si>
  <si>
    <t>ม.ค. 2561</t>
  </si>
  <si>
    <t>ก.พ. 2561</t>
  </si>
  <si>
    <t>มี.ค. 2561</t>
  </si>
  <si>
    <t>เม.ย. 2561</t>
  </si>
  <si>
    <t>พ.ค. 2561</t>
  </si>
  <si>
    <t>มิ.ย. 2561</t>
  </si>
  <si>
    <t>ก.ค. 2561</t>
  </si>
  <si>
    <t>ส.ค. 2561</t>
  </si>
  <si>
    <t>ก.ย. 2561</t>
  </si>
  <si>
    <t>ต.ค. 2561</t>
  </si>
  <si>
    <t>พ.ย. 2561</t>
  </si>
  <si>
    <t>ธ.ค. 2561</t>
  </si>
  <si>
    <t>ม.ค. 2562</t>
  </si>
  <si>
    <t>ตารางที่ 15 จำนวนตำแหน่งงานจำแนกตามประเภทอาชีพ</t>
  </si>
  <si>
    <t>ผู้ปฏิบัติงานซึ่งมิอาจจัดประเภท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</si>
  <si>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</si>
  <si>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</si>
  <si>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</si>
  <si>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</si>
  <si>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</si>
  <si>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</si>
  <si>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</si>
  <si>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</si>
  <si>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</si>
  <si>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</t>
  </si>
  <si>
    <t xml:space="preserve"> </t>
  </si>
  <si>
    <t>ก.พ. 2562</t>
  </si>
  <si>
    <t>ม.ค. 2557</t>
  </si>
  <si>
    <t>ก.พ. 2557</t>
  </si>
  <si>
    <t>มี.ค. 2557</t>
  </si>
  <si>
    <t>เม.ย. 2557</t>
  </si>
  <si>
    <t>พ.ค. 2557</t>
  </si>
  <si>
    <t>มิ.ย. 2557</t>
  </si>
  <si>
    <t>ก.ค. 2557</t>
  </si>
  <si>
    <t>ส.ค. 2557</t>
  </si>
  <si>
    <t>ก.ย. 2557</t>
  </si>
  <si>
    <t>ต.ค. 2557</t>
  </si>
  <si>
    <t>พ.ย. 2557</t>
  </si>
  <si>
    <t>ธ.ค. 2557</t>
  </si>
  <si>
    <t>ม.ค. 2558</t>
  </si>
  <si>
    <t>ก.พ. 2558</t>
  </si>
  <si>
    <t>มี.ค. 2558</t>
  </si>
  <si>
    <t>เม.ย. 2558</t>
  </si>
  <si>
    <t>พ.ค. 2558</t>
  </si>
  <si>
    <t>มิ.ย. 2558</t>
  </si>
  <si>
    <t>ก.ค. 2558</t>
  </si>
  <si>
    <t>ส.ค. 2558</t>
  </si>
  <si>
    <t>ก.ย. 2558</t>
  </si>
  <si>
    <t>ต.ค. 2558</t>
  </si>
  <si>
    <t>พ.ย. 2558</t>
  </si>
  <si>
    <t>ธ.ค. 2558</t>
  </si>
  <si>
    <t>ม.ค. 2559</t>
  </si>
  <si>
    <t>ก.พ. 2559</t>
  </si>
  <si>
    <t>มี.ค. 2559</t>
  </si>
  <si>
    <t>เม.ย. 2559</t>
  </si>
  <si>
    <t>พ.ค. 2559</t>
  </si>
  <si>
    <t>มิ.ย. 2559</t>
  </si>
  <si>
    <t>ก.ค. 2559</t>
  </si>
  <si>
    <t>ส.ค. 2559</t>
  </si>
  <si>
    <t>ก.ย. 2559</t>
  </si>
  <si>
    <t>ต.ค. 2559</t>
  </si>
  <si>
    <t>พ.ย. 2559</t>
  </si>
  <si>
    <t>ธ.ค. 2559</t>
  </si>
  <si>
    <t>ม.ค. 2560</t>
  </si>
  <si>
    <t>ก.พ. 2560</t>
  </si>
  <si>
    <t>มี.ค. 2560</t>
  </si>
  <si>
    <t>เม.ย. 2560</t>
  </si>
  <si>
    <t>พ.ค. 2560</t>
  </si>
  <si>
    <t>มิ.ย. 2560</t>
  </si>
  <si>
    <t>ก.ค. 2560</t>
  </si>
  <si>
    <t>ส.ค. 2560</t>
  </si>
  <si>
    <t>ก.ย. 2560</t>
  </si>
  <si>
    <t>ต.ค. 2560</t>
  </si>
  <si>
    <t>พ.ย. 2560</t>
  </si>
  <si>
    <t>ธ.ค. 2560</t>
  </si>
  <si>
    <t>มี.ค. 2562</t>
  </si>
  <si>
    <t>เม.ย. 2562</t>
  </si>
  <si>
    <t>พ.ค. 2562</t>
  </si>
  <si>
    <t>มิ.ย. 2562</t>
  </si>
  <si>
    <t>ก.ค. 2562</t>
  </si>
  <si>
    <t>ส.ค. 2562</t>
  </si>
  <si>
    <t>ก.ย. 2562</t>
  </si>
  <si>
    <t>ต.ค. 2562</t>
  </si>
  <si>
    <t>พ.ย. 2562</t>
  </si>
  <si>
    <t>ธ.ค. 2562</t>
  </si>
  <si>
    <t>ม.ค. 2563</t>
  </si>
  <si>
    <t>ก.พ. 2563</t>
  </si>
  <si>
    <t>มี.ค. 2563</t>
  </si>
  <si>
    <t>เม.ย. 2563</t>
  </si>
  <si>
    <t>พ.ค. 2563</t>
  </si>
  <si>
    <t>มิ.ย. 2563</t>
  </si>
  <si>
    <t>ก.ค. 2563</t>
  </si>
  <si>
    <t>ส.ค. 2563</t>
  </si>
  <si>
    <t>ก.ย. 2563</t>
  </si>
  <si>
    <t>ต.ค. 2563</t>
  </si>
  <si>
    <t>พ.ย. 2563</t>
  </si>
  <si>
    <t>ธ.ค.2563</t>
  </si>
  <si>
    <t>ม.ค. 2564</t>
  </si>
  <si>
    <t>ก.พ. 2564</t>
  </si>
  <si>
    <t>มี.ค. 2564</t>
  </si>
  <si>
    <t>เม.ย. 2564</t>
  </si>
  <si>
    <t>พ.ค. 2564</t>
  </si>
  <si>
    <t>มิ.ย. 2564</t>
  </si>
  <si>
    <t>ก.ค. 2564</t>
  </si>
  <si>
    <t>ส.ค. 2564</t>
  </si>
  <si>
    <t>ก.ย. 2564</t>
  </si>
  <si>
    <t>ต.ค. 2564</t>
  </si>
  <si>
    <t>พ.ย. 2564</t>
  </si>
  <si>
    <t>ธ.ค.2564</t>
  </si>
  <si>
    <t>Total</t>
  </si>
  <si>
    <t>จำนวนตำแหน่งงานจำแนกตามประเภทอาชีพ</t>
  </si>
  <si>
    <t>ผู้ปฏิบัติกฎหมาย ข้าราชการระดับอาวุโส ผู้จัดการ</t>
  </si>
  <si>
    <t xml:space="preserve">ผู้ประกอบวิชาชีพต่าง ๆ </t>
  </si>
  <si>
    <t>ผู้ปฏิบัติงานฝีมือด้านการเกษตร และประมง (แปรรูปขั้นพื้นฐาน)</t>
  </si>
  <si>
    <t xml:space="preserve">ผู้ปฏิบัติงานโดยใช้ฝีมือในธุรกิจต่าง ๆ </t>
  </si>
  <si>
    <t>ผู้ปฏิบัติงานในโรงงาน  ผู้ควบคุมเรื่องจักรและผู้ปฏิบัติงานด้านการประกอบ</t>
  </si>
  <si>
    <t>ทหาร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</si>
  <si>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</si>
  <si>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</si>
  <si>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</si>
  <si>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</si>
  <si>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</si>
  <si>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</si>
  <si>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</si>
  <si>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</si>
  <si>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</si>
  <si>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</si>
  <si>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</si>
  <si>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</si>
  <si>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</si>
  <si>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</si>
  <si>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ลำดับที่</t>
  </si>
  <si>
    <t>ชื่อคอลัมภ์</t>
  </si>
  <si>
    <t>ชนิดข้อมูล</t>
  </si>
  <si>
    <t>รายละเอียด</t>
  </si>
  <si>
    <t>timestamp</t>
  </si>
  <si>
    <t>เดือน</t>
  </si>
  <si>
    <t>ปี ค.ศ.</t>
  </si>
  <si>
    <t>numeric</t>
  </si>
  <si>
    <t>ม.ค.2565</t>
  </si>
  <si>
    <t>ก.พ. 2565</t>
  </si>
  <si>
    <t>มี.ค. 2565</t>
  </si>
  <si>
    <t>เม.ย. 2565</t>
  </si>
  <si>
    <t>พ.ค. 2565</t>
  </si>
  <si>
    <t>มิ.ย. 2565</t>
  </si>
  <si>
    <t>ก.ค. 2565</t>
  </si>
  <si>
    <t>ส.ค. 2565</t>
  </si>
  <si>
    <t>ก.ย. 2565</t>
  </si>
  <si>
    <t>ต.ค. 2565</t>
  </si>
  <si>
    <t>พ.ย. 2565</t>
  </si>
  <si>
    <t>ธ.ค.2565</t>
  </si>
  <si>
    <t>ม.ค.2566</t>
  </si>
  <si>
    <t>ก.พ. 2566</t>
  </si>
  <si>
    <t>มี.ค. 2566</t>
  </si>
  <si>
    <t>เม.ย. 2566</t>
  </si>
  <si>
    <t>พ.ค. 2566</t>
  </si>
  <si>
    <t>มิ.ย. 2566</t>
  </si>
  <si>
    <t>ก.ค. 2566</t>
  </si>
  <si>
    <t>ส.ค. 2566</t>
  </si>
  <si>
    <t>ก.ย. 2566</t>
  </si>
  <si>
    <t>ต.ค. 2566</t>
  </si>
  <si>
    <t>พ.ย. 2566</t>
  </si>
  <si>
    <t>ธ.ค.2566</t>
  </si>
  <si>
    <t>ม.ค. 2567</t>
  </si>
  <si>
    <t>ก.พ.2567</t>
  </si>
  <si>
    <t>มี.ค. 2567</t>
  </si>
  <si>
    <t>เม.ย. 2567</t>
  </si>
  <si>
    <t>พ.ค. 2567</t>
  </si>
  <si>
    <t>มิ.ย. 2567</t>
  </si>
  <si>
    <t>ก.ค. 2567</t>
  </si>
  <si>
    <t>ส.ค. 2567</t>
  </si>
  <si>
    <t>ก.ย. 2567</t>
  </si>
  <si>
    <t>ต.ค. 2567</t>
  </si>
  <si>
    <t>พ.ย. 2567</t>
  </si>
  <si>
    <t>ธ.ค. 2567</t>
  </si>
  <si>
    <t>ม.ค. 2568</t>
  </si>
  <si>
    <t>ก.พ.2568</t>
  </si>
  <si>
    <t>มี.ค.2568</t>
  </si>
  <si>
    <t>เม.ย.2568</t>
  </si>
  <si>
    <t>พ.ค.2568</t>
  </si>
  <si>
    <t>มิ.ย.2568</t>
  </si>
  <si>
    <t>ก.ค.2568</t>
  </si>
  <si>
    <t>ส.ค.2568</t>
  </si>
  <si>
    <t>ก.ย.2568</t>
  </si>
  <si>
    <t>ต.ค.2568</t>
  </si>
  <si>
    <t>พ.ย.2568</t>
  </si>
  <si>
    <t>ธ.ค.2568</t>
  </si>
  <si>
    <t>ม.ค.2569</t>
  </si>
  <si>
    <t>ก.พ.2569</t>
  </si>
  <si>
    <t>มี.ค.2569</t>
  </si>
  <si>
    <t>เม.ย.2569</t>
  </si>
  <si>
    <t>พ.ค.2569</t>
  </si>
  <si>
    <t>มิ.ย.2569</t>
  </si>
  <si>
    <t>ก.ค.2569</t>
  </si>
  <si>
    <t>ส.ค.2569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</si>
</sst>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;[Red]#,##0"/>
  </numFmts>
  <fonts count="3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name val="Arial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b/>
      <sz val="16"/>
      <name val="TH SarabunPSK"/>
      <family val="2"/>
    </font>
    <font>
      <sz val="13"/>
      <color theme="1"/>
      <name val="TH SarabunPSK"/>
      <family val="2"/>
    </font>
    <font>
      <sz val="14"/>
      <color theme="1"/>
      <name val="TH SarabunPSK"/>
      <family val="2"/>
    </font>
    <font>
      <b/>
      <sz val="13"/>
      <color theme="1"/>
      <name val="TH SarabunPSK"/>
      <family val="2"/>
    </font>
    <font>
      <sz val="14"/>
      <color rgb="FFFF0000"/>
      <name val="TH SarabunPSK"/>
      <family val="2"/>
    </font>
    <font>
      <sz val="13"/>
      <color rgb="FFFF0000"/>
      <name val="TH SarabunPSK"/>
      <family val="2"/>
    </font>
    <font>
      <b/>
      <sz val="14"/>
      <name val="Cordia New"/>
      <family val="2"/>
    </font>
    <font>
      <sz val="13"/>
      <name val="TH SarabunPSK"/>
      <family val="2"/>
    </font>
    <font>
      <sz val="12"/>
      <name val="TH SarabunPSK"/>
      <family val="2"/>
    </font>
    <font>
      <sz val="8"/>
      <name val="Calibri"/>
      <family val="2"/>
      <charset val="222"/>
      <scheme val="minor"/>
    </font>
    <font>
      <b/>
      <sz val="16"/>
      <color theme="0"/>
      <name val="TH SarabunPSK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65" fontId="24" fillId="33" borderId="10" xfId="43" applyNumberFormat="1" applyFont="1" applyFill="1" applyBorder="1" applyAlignment="1">
      <alignment horizontal="center"/>
    </xf>
    <xf numFmtId="165" fontId="24" fillId="0" borderId="10" xfId="43" applyNumberFormat="1" applyFont="1" applyFill="1" applyBorder="1"/>
    <xf numFmtId="165" fontId="24" fillId="0" borderId="10" xfId="43" applyNumberFormat="1" applyFont="1" applyFill="1" applyBorder="1" applyAlignment="1">
      <alignment horizontal="center"/>
    </xf>
    <xf numFmtId="165" fontId="24" fillId="0" borderId="10" xfId="43" applyNumberFormat="1" applyFont="1" applyFill="1" applyBorder="1" applyAlignment="1">
      <alignment horizontal="right"/>
    </xf>
    <xf numFmtId="165" fontId="24" fillId="0" borderId="10" xfId="43" applyNumberFormat="1" applyFont="1" applyFill="1" applyBorder="1" applyAlignment="1">
      <alignment horizontal="left"/>
    </xf>
    <xf numFmtId="165" fontId="21" fillId="0" borderId="0" xfId="43" applyNumberFormat="1" applyFont="1"/>
    <xf numFmtId="165" fontId="22" fillId="0" borderId="0" xfId="43" applyNumberFormat="1" applyFont="1"/>
    <xf numFmtId="165" fontId="23" fillId="0" borderId="0" xfId="43" applyNumberFormat="1" applyFont="1"/>
    <xf numFmtId="165" fontId="19" fillId="0" borderId="0" xfId="43" applyNumberFormat="1" applyFont="1" applyBorder="1" applyAlignment="1"/>
    <xf numFmtId="165" fontId="24" fillId="33" borderId="11" xfId="43" applyNumberFormat="1" applyFont="1" applyFill="1" applyBorder="1" applyAlignment="1">
      <alignment horizontal="center"/>
    </xf>
    <xf numFmtId="165" fontId="24" fillId="33" borderId="13" xfId="43" applyNumberFormat="1" applyFont="1" applyFill="1" applyBorder="1" applyAlignment="1">
      <alignment horizontal="center"/>
    </xf>
    <xf numFmtId="165" fontId="24" fillId="33" borderId="12" xfId="43" applyNumberFormat="1" applyFont="1" applyFill="1" applyBorder="1" applyAlignment="1">
      <alignment horizontal="center"/>
    </xf>
    <xf numFmtId="165" fontId="22" fillId="0" borderId="10" xfId="43" applyNumberFormat="1" applyFont="1" applyFill="1" applyBorder="1"/>
    <xf numFmtId="165" fontId="22" fillId="0" borderId="0" xfId="43" applyNumberFormat="1" applyFont="1" applyFill="1"/>
    <xf numFmtId="165" fontId="25" fillId="0" borderId="0" xfId="43" applyNumberFormat="1" applyFont="1" applyBorder="1"/>
    <xf numFmtId="165" fontId="26" fillId="0" borderId="0" xfId="43" applyNumberFormat="1" applyFont="1" applyBorder="1"/>
    <xf numFmtId="165" fontId="23" fillId="0" borderId="0" xfId="43" applyNumberFormat="1" applyFont="1" applyBorder="1"/>
    <xf numFmtId="165" fontId="20" fillId="0" borderId="0" xfId="43" applyNumberFormat="1" applyFont="1"/>
    <xf numFmtId="0" fontId="0" fillId="0" borderId="10" xfId="0" applyBorder="1"/>
    <xf numFmtId="0" fontId="2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49" fontId="24" fillId="33" borderId="10" xfId="43" applyNumberFormat="1" applyFont="1" applyFill="1" applyBorder="1" applyAlignment="1">
      <alignment horizontal="center"/>
    </xf>
    <xf numFmtId="49" fontId="0" fillId="0" borderId="10" xfId="0" applyNumberFormat="1" applyBorder="1"/>
    <xf numFmtId="165" fontId="28" fillId="0" borderId="10" xfId="43" applyNumberFormat="1" applyFont="1" applyFill="1" applyBorder="1"/>
    <xf numFmtId="165" fontId="22" fillId="0" borderId="0" xfId="43" applyNumberFormat="1" applyFont="1" applyFill="1" applyBorder="1"/>
    <xf numFmtId="166" fontId="31" fillId="0" borderId="0" xfId="43" applyNumberFormat="1" applyFont="1" applyFill="1" applyBorder="1" applyAlignment="1">
      <alignment horizontal="center" vertical="center"/>
    </xf>
    <xf numFmtId="165" fontId="23" fillId="0" borderId="0" xfId="43" applyNumberFormat="1" applyFont="1" applyFill="1" applyBorder="1"/>
    <xf numFmtId="166" fontId="21" fillId="0" borderId="0" xfId="43" applyNumberFormat="1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1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I21"/>
  <sheetViews>
    <sheetView tabSelected="1" zoomScaleNormal="100" workbookViewId="0">
      <pane xSplit="2" ySplit="4" topLeftCell="EO5" activePane="bottomRight" state="frozen"/>
      <selection pane="topRight" activeCell="C1" sqref="C1"/>
      <selection pane="bottomLeft" activeCell="A5" sqref="A5"/>
      <selection pane="bottomRight" activeCell="FB7" sqref="FB7"/>
    </sheetView>
  </sheetViews>
  <sheetFormatPr defaultColWidth="9" defaultRowHeight="18.75"/>
  <cols>
    <col min="1" max="1" width="6.85546875" style="7" customWidth="1"/>
    <col min="2" max="2" width="42" style="7" customWidth="1"/>
    <col min="3" max="50" width="7" style="7" customWidth="1"/>
    <col min="51" max="84" width="7" style="8" customWidth="1"/>
    <col min="85" max="155" width="9" style="8"/>
    <col min="156" max="164" width="9" style="33"/>
    <col min="165" max="16384" width="9" style="8"/>
  </cols>
  <sheetData>
    <row r="1" spans="1:165" ht="21">
      <c r="A1" s="6" t="s">
        <v>32</v>
      </c>
    </row>
    <row r="2" spans="1:165">
      <c r="A2" s="9" t="s">
        <v>14</v>
      </c>
    </row>
    <row r="4" spans="1:165" s="7" customFormat="1" ht="17.25">
      <c r="A4" s="10" t="s">
        <v>11</v>
      </c>
      <c r="B4" s="11" t="s">
        <v>12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Y4" s="1" t="s">
        <v>68</v>
      </c>
      <c r="Z4" s="1" t="s">
        <v>69</v>
      </c>
      <c r="AA4" s="1" t="s">
        <v>70</v>
      </c>
      <c r="AB4" s="1" t="s">
        <v>71</v>
      </c>
      <c r="AC4" s="1" t="s">
        <v>72</v>
      </c>
      <c r="AD4" s="1" t="s">
        <v>73</v>
      </c>
      <c r="AE4" s="1" t="s">
        <v>74</v>
      </c>
      <c r="AF4" s="1" t="s">
        <v>75</v>
      </c>
      <c r="AG4" s="1" t="s">
        <v>76</v>
      </c>
      <c r="AH4" s="1" t="s">
        <v>77</v>
      </c>
      <c r="AI4" s="1" t="s">
        <v>78</v>
      </c>
      <c r="AJ4" s="1" t="s">
        <v>79</v>
      </c>
      <c r="AK4" s="1" t="s">
        <v>80</v>
      </c>
      <c r="AL4" s="1" t="s">
        <v>81</v>
      </c>
      <c r="AM4" s="1" t="s">
        <v>82</v>
      </c>
      <c r="AN4" s="1" t="s">
        <v>83</v>
      </c>
      <c r="AO4" s="1" t="s">
        <v>84</v>
      </c>
      <c r="AP4" s="1" t="s">
        <v>85</v>
      </c>
      <c r="AQ4" s="1" t="s">
        <v>86</v>
      </c>
      <c r="AR4" s="1" t="s">
        <v>87</v>
      </c>
      <c r="AS4" s="1" t="s">
        <v>88</v>
      </c>
      <c r="AT4" s="1" t="s">
        <v>89</v>
      </c>
      <c r="AU4" s="1" t="s">
        <v>90</v>
      </c>
      <c r="AV4" s="1" t="s">
        <v>91</v>
      </c>
      <c r="AW4" s="1" t="s">
        <v>92</v>
      </c>
      <c r="AX4" s="1" t="s">
        <v>93</v>
      </c>
      <c r="AY4" s="1" t="s">
        <v>19</v>
      </c>
      <c r="AZ4" s="1" t="s">
        <v>20</v>
      </c>
      <c r="BA4" s="1" t="s">
        <v>21</v>
      </c>
      <c r="BB4" s="1" t="s">
        <v>22</v>
      </c>
      <c r="BC4" s="1" t="s">
        <v>23</v>
      </c>
      <c r="BD4" s="1" t="s">
        <v>24</v>
      </c>
      <c r="BE4" s="1" t="s">
        <v>25</v>
      </c>
      <c r="BF4" s="1" t="s">
        <v>26</v>
      </c>
      <c r="BG4" s="1" t="s">
        <v>27</v>
      </c>
      <c r="BH4" s="1" t="s">
        <v>28</v>
      </c>
      <c r="BI4" s="1" t="s">
        <v>29</v>
      </c>
      <c r="BJ4" s="1" t="s">
        <v>30</v>
      </c>
      <c r="BK4" s="1" t="s">
        <v>31</v>
      </c>
      <c r="BL4" s="1" t="s">
        <v>45</v>
      </c>
      <c r="BM4" s="1" t="s">
        <v>94</v>
      </c>
      <c r="BN4" s="1" t="s">
        <v>95</v>
      </c>
      <c r="BO4" s="1" t="s">
        <v>96</v>
      </c>
      <c r="BP4" s="1" t="s">
        <v>97</v>
      </c>
      <c r="BQ4" s="1" t="s">
        <v>98</v>
      </c>
      <c r="BR4" s="1" t="s">
        <v>99</v>
      </c>
      <c r="BS4" s="1" t="s">
        <v>100</v>
      </c>
      <c r="BT4" s="1" t="s">
        <v>101</v>
      </c>
      <c r="BU4" s="1" t="s">
        <v>102</v>
      </c>
      <c r="BV4" s="1" t="s">
        <v>103</v>
      </c>
      <c r="BW4" s="1" t="s">
        <v>104</v>
      </c>
      <c r="BX4" s="1" t="s">
        <v>105</v>
      </c>
      <c r="BY4" s="1" t="s">
        <v>106</v>
      </c>
      <c r="BZ4" s="1" t="s">
        <v>107</v>
      </c>
      <c r="CA4" s="1" t="s">
        <v>108</v>
      </c>
      <c r="CB4" s="1" t="s">
        <v>109</v>
      </c>
      <c r="CC4" s="1" t="s">
        <v>110</v>
      </c>
      <c r="CD4" s="1" t="s">
        <v>111</v>
      </c>
      <c r="CE4" s="1" t="s">
        <v>112</v>
      </c>
      <c r="CF4" s="1" t="s">
        <v>113</v>
      </c>
      <c r="CG4" s="1" t="s">
        <v>114</v>
      </c>
      <c r="CH4" s="1" t="s">
        <v>115</v>
      </c>
      <c r="CI4" s="1" t="s">
        <v>116</v>
      </c>
      <c r="CJ4" s="1" t="s">
        <v>117</v>
      </c>
      <c r="CK4" s="1" t="s">
        <v>118</v>
      </c>
      <c r="CL4" s="1" t="s">
        <v>119</v>
      </c>
      <c r="CM4" s="1" t="s">
        <v>120</v>
      </c>
      <c r="CN4" s="1" t="s">
        <v>121</v>
      </c>
      <c r="CO4" s="1" t="s">
        <v>122</v>
      </c>
      <c r="CP4" s="1" t="s">
        <v>123</v>
      </c>
      <c r="CQ4" s="1" t="s">
        <v>124</v>
      </c>
      <c r="CR4" s="1" t="s">
        <v>125</v>
      </c>
      <c r="CS4" s="1" t="s">
        <v>126</v>
      </c>
      <c r="CT4" s="1" t="s">
        <v>127</v>
      </c>
      <c r="CU4" s="28" t="s">
        <v>158</v>
      </c>
      <c r="CV4" s="28" t="s">
        <v>159</v>
      </c>
      <c r="CW4" s="28" t="s">
        <v>160</v>
      </c>
      <c r="CX4" s="28" t="s">
        <v>161</v>
      </c>
      <c r="CY4" s="28" t="s">
        <v>162</v>
      </c>
      <c r="CZ4" s="28" t="s">
        <v>163</v>
      </c>
      <c r="DA4" s="28" t="s">
        <v>164</v>
      </c>
      <c r="DB4" s="28" t="s">
        <v>165</v>
      </c>
      <c r="DC4" s="28" t="s">
        <v>166</v>
      </c>
      <c r="DD4" s="28" t="s">
        <v>167</v>
      </c>
      <c r="DE4" s="28" t="s">
        <v>168</v>
      </c>
      <c r="DF4" s="28" t="s">
        <v>169</v>
      </c>
      <c r="DG4" s="28" t="s">
        <v>170</v>
      </c>
      <c r="DH4" s="28" t="s">
        <v>171</v>
      </c>
      <c r="DI4" s="28" t="s">
        <v>172</v>
      </c>
      <c r="DJ4" s="28" t="s">
        <v>173</v>
      </c>
      <c r="DK4" s="28" t="s">
        <v>174</v>
      </c>
      <c r="DL4" s="28" t="s">
        <v>175</v>
      </c>
      <c r="DM4" s="28" t="s">
        <v>176</v>
      </c>
      <c r="DN4" s="28" t="s">
        <v>177</v>
      </c>
      <c r="DO4" s="28" t="s">
        <v>178</v>
      </c>
      <c r="DP4" s="28" t="s">
        <v>179</v>
      </c>
      <c r="DQ4" s="28" t="s">
        <v>180</v>
      </c>
      <c r="DR4" s="28" t="s">
        <v>181</v>
      </c>
      <c r="DS4" s="28" t="s">
        <v>182</v>
      </c>
      <c r="DT4" s="28" t="s">
        <v>183</v>
      </c>
      <c r="DU4" s="28" t="s">
        <v>184</v>
      </c>
      <c r="DV4" s="28" t="s">
        <v>185</v>
      </c>
      <c r="DW4" s="28" t="s">
        <v>186</v>
      </c>
      <c r="DX4" s="28" t="s">
        <v>187</v>
      </c>
      <c r="DY4" s="28" t="s">
        <v>188</v>
      </c>
      <c r="DZ4" s="28" t="s">
        <v>189</v>
      </c>
      <c r="EA4" s="28" t="s">
        <v>190</v>
      </c>
      <c r="EB4" s="28" t="s">
        <v>191</v>
      </c>
      <c r="EC4" s="28" t="s">
        <v>192</v>
      </c>
      <c r="ED4" s="28" t="s">
        <v>193</v>
      </c>
      <c r="EE4" s="28" t="s">
        <v>194</v>
      </c>
      <c r="EF4" s="28" t="s">
        <v>195</v>
      </c>
      <c r="EG4" s="28" t="s">
        <v>196</v>
      </c>
      <c r="EH4" s="28" t="s">
        <v>197</v>
      </c>
      <c r="EI4" s="28" t="s">
        <v>198</v>
      </c>
      <c r="EJ4" s="28" t="s">
        <v>199</v>
      </c>
      <c r="EK4" s="28" t="s">
        <v>200</v>
      </c>
      <c r="EL4" s="28" t="s">
        <v>201</v>
      </c>
      <c r="EM4" s="28" t="s">
        <v>202</v>
      </c>
      <c r="EN4" s="28" t="s">
        <v>203</v>
      </c>
      <c r="EO4" s="28" t="s">
        <v>204</v>
      </c>
      <c r="EP4" s="28" t="s">
        <v>205</v>
      </c>
      <c r="EQ4" s="28" t="s">
        <v>206</v>
      </c>
      <c r="ER4" s="28" t="s">
        <v>207</v>
      </c>
      <c r="ES4" s="28" t="s">
        <v>208</v>
      </c>
      <c r="ET4" s="28" t="s">
        <v>209</v>
      </c>
      <c r="EU4" s="28" t="s">
        <v>210</v>
      </c>
      <c r="EV4" s="28" t="s">
        <v>211</v>
      </c>
      <c r="EW4" s="28" t="s">
        <v>212</v>
      </c>
      <c r="EX4" s="28" t="s">
        <v>213</v>
      </c>
      <c r="EZ4" s="31"/>
      <c r="FA4" s="31"/>
      <c r="FB4" s="31"/>
      <c r="FC4" s="31"/>
      <c r="FD4" s="31"/>
      <c r="FE4" s="31"/>
      <c r="FF4" s="31"/>
      <c r="FG4" s="31"/>
      <c r="FH4" s="31"/>
    </row>
    <row r="5" spans="1:165" s="7" customFormat="1" ht="17.25">
      <c r="A5" s="12"/>
      <c r="B5" s="11" t="s">
        <v>0</v>
      </c>
      <c r="C5" s="1">
        <f t="shared" ref="C5:AH5" si="0">SUM(C6:C16)</f>
        <v>41215</v>
      </c>
      <c r="D5" s="1">
        <f t="shared" si="0"/>
        <v>40067</v>
      </c>
      <c r="E5" s="1">
        <f t="shared" si="0"/>
        <v>36104</v>
      </c>
      <c r="F5" s="1">
        <f t="shared" si="0"/>
        <v>35337</v>
      </c>
      <c r="G5" s="1">
        <f t="shared" si="0"/>
        <v>27408</v>
      </c>
      <c r="H5" s="1">
        <f t="shared" si="0"/>
        <v>40947</v>
      </c>
      <c r="I5" s="1">
        <f t="shared" si="0"/>
        <v>37951</v>
      </c>
      <c r="J5" s="1">
        <f t="shared" si="0"/>
        <v>41154</v>
      </c>
      <c r="K5" s="1">
        <f t="shared" si="0"/>
        <v>51703</v>
      </c>
      <c r="L5" s="1">
        <f t="shared" si="0"/>
        <v>28735</v>
      </c>
      <c r="M5" s="1">
        <f t="shared" si="0"/>
        <v>38934</v>
      </c>
      <c r="N5" s="1">
        <f t="shared" si="0"/>
        <v>33507</v>
      </c>
      <c r="O5" s="1">
        <f t="shared" si="0"/>
        <v>34082</v>
      </c>
      <c r="P5" s="1">
        <f t="shared" si="0"/>
        <v>42530</v>
      </c>
      <c r="Q5" s="1">
        <f t="shared" si="0"/>
        <v>38103</v>
      </c>
      <c r="R5" s="1">
        <f t="shared" si="0"/>
        <v>34148</v>
      </c>
      <c r="S5" s="1">
        <f t="shared" si="0"/>
        <v>36593</v>
      </c>
      <c r="T5" s="1">
        <f t="shared" si="0"/>
        <v>51314</v>
      </c>
      <c r="U5" s="1">
        <f t="shared" si="0"/>
        <v>49793</v>
      </c>
      <c r="V5" s="1">
        <f t="shared" si="0"/>
        <v>36626</v>
      </c>
      <c r="W5" s="1">
        <f t="shared" si="0"/>
        <v>38354</v>
      </c>
      <c r="X5" s="1">
        <f t="shared" si="0"/>
        <v>31654</v>
      </c>
      <c r="Y5" s="1">
        <f t="shared" si="0"/>
        <v>43393</v>
      </c>
      <c r="Z5" s="1">
        <f t="shared" si="0"/>
        <v>40182</v>
      </c>
      <c r="AA5" s="1">
        <f t="shared" si="0"/>
        <v>39894</v>
      </c>
      <c r="AB5" s="1">
        <f t="shared" si="0"/>
        <v>43019</v>
      </c>
      <c r="AC5" s="1">
        <f t="shared" si="0"/>
        <v>41588</v>
      </c>
      <c r="AD5" s="1">
        <f t="shared" si="0"/>
        <v>41117</v>
      </c>
      <c r="AE5" s="1">
        <f t="shared" si="0"/>
        <v>38806</v>
      </c>
      <c r="AF5" s="1">
        <f t="shared" si="0"/>
        <v>36788</v>
      </c>
      <c r="AG5" s="1">
        <f t="shared" si="0"/>
        <v>33104</v>
      </c>
      <c r="AH5" s="1">
        <f t="shared" si="0"/>
        <v>32976</v>
      </c>
      <c r="AI5" s="1">
        <f t="shared" ref="AI5:BN5" si="1">SUM(AI6:AI16)</f>
        <v>30090</v>
      </c>
      <c r="AJ5" s="1">
        <f t="shared" si="1"/>
        <v>22648</v>
      </c>
      <c r="AK5" s="1">
        <f t="shared" si="1"/>
        <v>32728</v>
      </c>
      <c r="AL5" s="1">
        <f t="shared" si="1"/>
        <v>28304</v>
      </c>
      <c r="AM5" s="1">
        <f t="shared" si="1"/>
        <v>30645</v>
      </c>
      <c r="AN5" s="1">
        <f t="shared" si="1"/>
        <v>33889</v>
      </c>
      <c r="AO5" s="1">
        <f t="shared" si="1"/>
        <v>37491</v>
      </c>
      <c r="AP5" s="1">
        <f t="shared" si="1"/>
        <v>34191</v>
      </c>
      <c r="AQ5" s="1">
        <f t="shared" si="1"/>
        <v>37348</v>
      </c>
      <c r="AR5" s="1">
        <f t="shared" si="1"/>
        <v>43991</v>
      </c>
      <c r="AS5" s="1">
        <f t="shared" si="1"/>
        <v>37985</v>
      </c>
      <c r="AT5" s="1">
        <f t="shared" si="1"/>
        <v>31277</v>
      </c>
      <c r="AU5" s="1">
        <f t="shared" si="1"/>
        <v>30356</v>
      </c>
      <c r="AV5" s="1">
        <f t="shared" si="1"/>
        <v>31337</v>
      </c>
      <c r="AW5" s="1">
        <f t="shared" si="1"/>
        <v>27372</v>
      </c>
      <c r="AX5" s="1">
        <f t="shared" si="1"/>
        <v>25389</v>
      </c>
      <c r="AY5" s="1">
        <f t="shared" si="1"/>
        <v>43849</v>
      </c>
      <c r="AZ5" s="1">
        <f t="shared" si="1"/>
        <v>31193</v>
      </c>
      <c r="BA5" s="1">
        <f t="shared" si="1"/>
        <v>29626</v>
      </c>
      <c r="BB5" s="1">
        <f t="shared" si="1"/>
        <v>30096</v>
      </c>
      <c r="BC5" s="1">
        <f t="shared" si="1"/>
        <v>33428</v>
      </c>
      <c r="BD5" s="1">
        <f t="shared" si="1"/>
        <v>27496</v>
      </c>
      <c r="BE5" s="1">
        <f t="shared" si="1"/>
        <v>23402</v>
      </c>
      <c r="BF5" s="1">
        <f t="shared" si="1"/>
        <v>26027</v>
      </c>
      <c r="BG5" s="1">
        <f t="shared" si="1"/>
        <v>29033</v>
      </c>
      <c r="BH5" s="1">
        <f t="shared" si="1"/>
        <v>20429</v>
      </c>
      <c r="BI5" s="1">
        <f t="shared" si="1"/>
        <v>24840</v>
      </c>
      <c r="BJ5" s="1">
        <f t="shared" si="1"/>
        <v>24914</v>
      </c>
      <c r="BK5" s="1">
        <f t="shared" si="1"/>
        <v>28113</v>
      </c>
      <c r="BL5" s="1">
        <f t="shared" si="1"/>
        <v>35525</v>
      </c>
      <c r="BM5" s="1">
        <f t="shared" si="1"/>
        <v>43568</v>
      </c>
      <c r="BN5" s="1">
        <f t="shared" si="1"/>
        <v>36592</v>
      </c>
      <c r="BO5" s="1">
        <f t="shared" ref="BO5:BX5" si="2">SUM(BO6:BO16)</f>
        <v>34817</v>
      </c>
      <c r="BP5" s="1">
        <f t="shared" si="2"/>
        <v>30047</v>
      </c>
      <c r="BQ5" s="1">
        <f t="shared" si="2"/>
        <v>24311</v>
      </c>
      <c r="BR5" s="1">
        <f t="shared" si="2"/>
        <v>30510</v>
      </c>
      <c r="BS5" s="1">
        <f t="shared" si="2"/>
        <v>17614</v>
      </c>
      <c r="BT5" s="1">
        <f t="shared" si="2"/>
        <v>18351</v>
      </c>
      <c r="BU5" s="1">
        <f t="shared" si="2"/>
        <v>21224</v>
      </c>
      <c r="BV5" s="1">
        <f t="shared" si="2"/>
        <v>21979</v>
      </c>
      <c r="BW5" s="1">
        <f t="shared" si="2"/>
        <v>21094</v>
      </c>
      <c r="BX5" s="1">
        <f t="shared" si="2"/>
        <v>22966</v>
      </c>
      <c r="BY5" s="1">
        <f t="shared" ref="BY5:BZ5" si="3">SUM(BY6:BY16)</f>
        <v>18775</v>
      </c>
      <c r="BZ5" s="1">
        <f t="shared" si="3"/>
        <v>42260</v>
      </c>
      <c r="CA5" s="1">
        <f t="shared" ref="CA5:CB5" si="4">SUM(CA6:CA16)</f>
        <v>28489</v>
      </c>
      <c r="CB5" s="1">
        <f t="shared" si="4"/>
        <v>37558</v>
      </c>
      <c r="CC5" s="1">
        <f t="shared" ref="CC5:CD5" si="5">SUM(CC6:CC16)</f>
        <v>40183</v>
      </c>
      <c r="CD5" s="1">
        <f t="shared" si="5"/>
        <v>37826</v>
      </c>
      <c r="CE5" s="1">
        <f t="shared" ref="CE5:CF5" si="6">SUM(CE6:CE16)</f>
        <v>461642</v>
      </c>
      <c r="CF5" s="1">
        <f t="shared" si="6"/>
        <v>16424</v>
      </c>
      <c r="CG5" s="1">
        <f t="shared" ref="CG5:CT5" si="7">SUM(CG6:CG16)</f>
        <v>32958</v>
      </c>
      <c r="CH5" s="1">
        <f t="shared" si="7"/>
        <v>32894</v>
      </c>
      <c r="CI5" s="1">
        <f t="shared" si="7"/>
        <v>29175</v>
      </c>
      <c r="CJ5" s="1">
        <f t="shared" si="7"/>
        <v>39163</v>
      </c>
      <c r="CK5" s="1">
        <f t="shared" si="7"/>
        <v>80139</v>
      </c>
      <c r="CL5" s="1">
        <f t="shared" si="7"/>
        <v>33475</v>
      </c>
      <c r="CM5" s="1">
        <f t="shared" si="7"/>
        <v>44475</v>
      </c>
      <c r="CN5" s="1">
        <f t="shared" si="7"/>
        <v>40460</v>
      </c>
      <c r="CO5" s="1">
        <f t="shared" si="7"/>
        <v>40332</v>
      </c>
      <c r="CP5" s="1">
        <f t="shared" si="7"/>
        <v>60116</v>
      </c>
      <c r="CQ5" s="1">
        <f t="shared" si="7"/>
        <v>113024</v>
      </c>
      <c r="CR5" s="1">
        <f t="shared" si="7"/>
        <v>22857</v>
      </c>
      <c r="CS5" s="1">
        <f t="shared" si="7"/>
        <v>32038</v>
      </c>
      <c r="CT5" s="1">
        <f t="shared" si="7"/>
        <v>27361</v>
      </c>
      <c r="CU5" s="1">
        <f t="shared" ref="CU5:DF5" si="8">SUM(CU6:CU16)</f>
        <v>33805</v>
      </c>
      <c r="CV5" s="1">
        <f t="shared" si="8"/>
        <v>43642</v>
      </c>
      <c r="CW5" s="1">
        <f t="shared" si="8"/>
        <v>56537</v>
      </c>
      <c r="CX5" s="1">
        <f t="shared" si="8"/>
        <v>33013</v>
      </c>
      <c r="CY5" s="1">
        <f t="shared" si="8"/>
        <v>44977</v>
      </c>
      <c r="CZ5" s="1">
        <f t="shared" si="8"/>
        <v>41093</v>
      </c>
      <c r="DA5" s="1">
        <f t="shared" si="8"/>
        <v>35478</v>
      </c>
      <c r="DB5" s="1">
        <f t="shared" si="8"/>
        <v>37235</v>
      </c>
      <c r="DC5" s="1">
        <f t="shared" si="8"/>
        <v>39708</v>
      </c>
      <c r="DD5" s="1">
        <f t="shared" si="8"/>
        <v>25334</v>
      </c>
      <c r="DE5" s="1">
        <f t="shared" si="8"/>
        <v>38829</v>
      </c>
      <c r="DF5" s="1">
        <f t="shared" si="8"/>
        <v>86275</v>
      </c>
      <c r="DG5" s="1">
        <f t="shared" ref="DG5:ED5" si="9">SUM(DG6:DG16)</f>
        <v>92593</v>
      </c>
      <c r="DH5" s="1">
        <f t="shared" si="9"/>
        <v>121518</v>
      </c>
      <c r="DI5" s="1">
        <f t="shared" si="9"/>
        <v>85935</v>
      </c>
      <c r="DJ5" s="1">
        <f t="shared" si="9"/>
        <v>32905</v>
      </c>
      <c r="DK5" s="1">
        <f t="shared" si="9"/>
        <v>89422</v>
      </c>
      <c r="DL5" s="1">
        <f t="shared" si="9"/>
        <v>75466</v>
      </c>
      <c r="DM5" s="1">
        <f t="shared" si="9"/>
        <v>29317</v>
      </c>
      <c r="DN5" s="1">
        <f t="shared" si="9"/>
        <v>19314</v>
      </c>
      <c r="DO5" s="1">
        <f t="shared" si="9"/>
        <v>15380</v>
      </c>
      <c r="DP5" s="1">
        <f t="shared" si="9"/>
        <v>37813</v>
      </c>
      <c r="DQ5" s="1">
        <f t="shared" si="9"/>
        <v>74332</v>
      </c>
      <c r="DR5" s="1">
        <f t="shared" si="9"/>
        <v>67122</v>
      </c>
      <c r="DS5" s="1">
        <f t="shared" si="9"/>
        <v>76611</v>
      </c>
      <c r="DT5" s="1">
        <f t="shared" si="9"/>
        <v>87423</v>
      </c>
      <c r="DU5" s="1">
        <f t="shared" si="9"/>
        <v>81678</v>
      </c>
      <c r="DV5" s="1">
        <f t="shared" si="9"/>
        <v>75402</v>
      </c>
      <c r="DW5" s="1">
        <f t="shared" si="9"/>
        <v>76390</v>
      </c>
      <c r="DX5" s="1">
        <f t="shared" si="9"/>
        <v>125261</v>
      </c>
      <c r="DY5" s="1">
        <f t="shared" si="9"/>
        <v>77742</v>
      </c>
      <c r="DZ5" s="1">
        <f t="shared" si="9"/>
        <v>66868</v>
      </c>
      <c r="EA5" s="1">
        <f t="shared" si="9"/>
        <v>46837</v>
      </c>
      <c r="EB5" s="1">
        <f t="shared" si="9"/>
        <v>47158</v>
      </c>
      <c r="EC5" s="1">
        <f t="shared" si="9"/>
        <v>38482</v>
      </c>
      <c r="ED5" s="1">
        <f t="shared" si="9"/>
        <v>36621</v>
      </c>
      <c r="EE5" s="1">
        <f t="shared" ref="EE5:EF5" si="10">SUM(EE6:EE16)</f>
        <v>38654</v>
      </c>
      <c r="EF5" s="1">
        <f t="shared" si="10"/>
        <v>38965</v>
      </c>
      <c r="EG5" s="1">
        <f t="shared" ref="EG5:EI5" si="11">SUM(EG6:EG16)</f>
        <v>44660</v>
      </c>
      <c r="EH5" s="1">
        <f t="shared" si="11"/>
        <v>46210</v>
      </c>
      <c r="EI5" s="1">
        <f t="shared" si="11"/>
        <v>65580</v>
      </c>
      <c r="EJ5" s="1">
        <f t="shared" ref="EJ5:EK5" si="12">SUM(EJ6:EJ16)</f>
        <v>39961</v>
      </c>
      <c r="EK5" s="1">
        <f t="shared" si="12"/>
        <v>33903</v>
      </c>
      <c r="EL5" s="1">
        <f t="shared" ref="EL5:EM5" si="13">SUM(EL6:EL16)</f>
        <v>31574</v>
      </c>
      <c r="EM5" s="1">
        <f t="shared" si="13"/>
        <v>22669</v>
      </c>
      <c r="EN5" s="1">
        <f t="shared" ref="EN5:EO5" si="14">SUM(EN6:EN16)</f>
        <v>31377</v>
      </c>
      <c r="EO5" s="1">
        <f t="shared" si="14"/>
        <v>52906</v>
      </c>
      <c r="EP5" s="1">
        <f t="shared" ref="EP5:EQ5" si="15">SUM(EP6:EP16)</f>
        <v>51191</v>
      </c>
      <c r="EQ5" s="1">
        <f t="shared" si="15"/>
        <v>31172</v>
      </c>
      <c r="ER5" s="1">
        <f t="shared" ref="ER5" si="16">SUM(ER6:ER16)</f>
        <v>33187</v>
      </c>
      <c r="ES5" s="1">
        <f t="shared" ref="ES5:ET5" si="17">SUM(ES6:ES16)</f>
        <v>33038</v>
      </c>
      <c r="ET5" s="1">
        <f t="shared" si="17"/>
        <v>27269</v>
      </c>
      <c r="EU5" s="1">
        <f t="shared" ref="EU5:EV5" si="18">SUM(EU6:EU16)</f>
        <v>25546</v>
      </c>
      <c r="EV5" s="1">
        <f t="shared" si="18"/>
        <v>26297</v>
      </c>
      <c r="EW5" s="1">
        <f t="shared" ref="EW5:EX5" si="19">SUM(EW6:EW16)</f>
        <v>23640</v>
      </c>
      <c r="EX5" s="1">
        <f t="shared" si="19"/>
        <v>18828</v>
      </c>
      <c r="EZ5" s="31"/>
      <c r="FA5" s="31"/>
      <c r="FB5" s="31"/>
      <c r="FC5" s="31"/>
      <c r="FD5" s="31"/>
      <c r="FE5" s="31"/>
      <c r="FF5" s="31"/>
      <c r="FG5" s="31"/>
      <c r="FH5" s="31"/>
    </row>
    <row r="6" spans="1:165" s="14" customFormat="1" ht="21">
      <c r="A6" s="2" t="s">
        <v>34</v>
      </c>
      <c r="B6" s="2" t="s">
        <v>1</v>
      </c>
      <c r="C6" s="2">
        <v>612</v>
      </c>
      <c r="D6" s="2">
        <v>507</v>
      </c>
      <c r="E6" s="2">
        <v>699</v>
      </c>
      <c r="F6" s="2">
        <v>696</v>
      </c>
      <c r="G6" s="2">
        <v>575</v>
      </c>
      <c r="H6" s="2">
        <v>563</v>
      </c>
      <c r="I6" s="2">
        <v>678</v>
      </c>
      <c r="J6" s="2">
        <v>563</v>
      </c>
      <c r="K6" s="2">
        <v>757</v>
      </c>
      <c r="L6" s="2">
        <v>760</v>
      </c>
      <c r="M6" s="2">
        <v>738</v>
      </c>
      <c r="N6" s="2">
        <v>657</v>
      </c>
      <c r="O6" s="3">
        <v>584</v>
      </c>
      <c r="P6" s="3">
        <v>883</v>
      </c>
      <c r="Q6" s="3">
        <v>730</v>
      </c>
      <c r="R6" s="3">
        <v>431</v>
      </c>
      <c r="S6" s="3">
        <v>685</v>
      </c>
      <c r="T6" s="3">
        <v>1195</v>
      </c>
      <c r="U6" s="3">
        <v>902</v>
      </c>
      <c r="V6" s="3">
        <v>620</v>
      </c>
      <c r="W6" s="3">
        <v>615</v>
      </c>
      <c r="X6" s="3">
        <v>854</v>
      </c>
      <c r="Y6" s="3">
        <v>1127</v>
      </c>
      <c r="Z6" s="3">
        <v>895</v>
      </c>
      <c r="AA6" s="3">
        <v>869</v>
      </c>
      <c r="AB6" s="3">
        <v>963</v>
      </c>
      <c r="AC6" s="3">
        <v>893</v>
      </c>
      <c r="AD6" s="3">
        <v>769</v>
      </c>
      <c r="AE6" s="3">
        <v>953</v>
      </c>
      <c r="AF6" s="3">
        <v>1072</v>
      </c>
      <c r="AG6" s="3">
        <v>681</v>
      </c>
      <c r="AH6" s="3">
        <v>806</v>
      </c>
      <c r="AI6" s="3">
        <v>528</v>
      </c>
      <c r="AJ6" s="3">
        <v>742</v>
      </c>
      <c r="AK6" s="3">
        <v>805</v>
      </c>
      <c r="AL6" s="3">
        <v>501</v>
      </c>
      <c r="AM6" s="2">
        <v>580</v>
      </c>
      <c r="AN6" s="2">
        <v>794</v>
      </c>
      <c r="AO6" s="2">
        <v>577</v>
      </c>
      <c r="AP6" s="2">
        <v>500</v>
      </c>
      <c r="AQ6" s="2">
        <v>660</v>
      </c>
      <c r="AR6" s="2">
        <v>894</v>
      </c>
      <c r="AS6" s="2">
        <v>745</v>
      </c>
      <c r="AT6" s="2">
        <v>472</v>
      </c>
      <c r="AU6" s="2">
        <v>778</v>
      </c>
      <c r="AV6" s="2">
        <v>447</v>
      </c>
      <c r="AW6" s="2">
        <v>684</v>
      </c>
      <c r="AX6" s="2">
        <v>652</v>
      </c>
      <c r="AY6" s="4">
        <v>1028</v>
      </c>
      <c r="AZ6" s="4">
        <v>637</v>
      </c>
      <c r="BA6" s="4">
        <v>703</v>
      </c>
      <c r="BB6" s="4">
        <v>595</v>
      </c>
      <c r="BC6" s="4">
        <v>779</v>
      </c>
      <c r="BD6" s="4">
        <v>785</v>
      </c>
      <c r="BE6" s="4">
        <v>497</v>
      </c>
      <c r="BF6" s="4">
        <v>469</v>
      </c>
      <c r="BG6" s="4">
        <v>671</v>
      </c>
      <c r="BH6" s="4">
        <v>798</v>
      </c>
      <c r="BI6" s="4">
        <v>461</v>
      </c>
      <c r="BJ6" s="4">
        <v>571</v>
      </c>
      <c r="BK6" s="3">
        <v>409</v>
      </c>
      <c r="BL6" s="3">
        <v>1113</v>
      </c>
      <c r="BM6" s="3">
        <v>746</v>
      </c>
      <c r="BN6" s="3">
        <v>631</v>
      </c>
      <c r="BO6" s="3">
        <v>592</v>
      </c>
      <c r="BP6" s="3">
        <v>664</v>
      </c>
      <c r="BQ6" s="3">
        <v>613</v>
      </c>
      <c r="BR6" s="3">
        <v>672</v>
      </c>
      <c r="BS6" s="3">
        <v>347</v>
      </c>
      <c r="BT6" s="3">
        <v>454</v>
      </c>
      <c r="BU6" s="3">
        <v>468</v>
      </c>
      <c r="BV6" s="3">
        <v>578</v>
      </c>
      <c r="BW6" s="3">
        <v>284</v>
      </c>
      <c r="BX6" s="3">
        <v>813</v>
      </c>
      <c r="BY6" s="3">
        <v>513</v>
      </c>
      <c r="BZ6" s="3">
        <v>414</v>
      </c>
      <c r="CA6" s="3">
        <v>751</v>
      </c>
      <c r="CB6" s="3">
        <v>921</v>
      </c>
      <c r="CC6" s="3">
        <v>1339</v>
      </c>
      <c r="CD6" s="3">
        <v>1100</v>
      </c>
      <c r="CE6" s="3">
        <v>12284</v>
      </c>
      <c r="CF6" s="3">
        <v>480</v>
      </c>
      <c r="CG6" s="3">
        <v>1343</v>
      </c>
      <c r="CH6" s="3">
        <v>972</v>
      </c>
      <c r="CI6" s="2">
        <v>964</v>
      </c>
      <c r="CJ6" s="2">
        <v>1974</v>
      </c>
      <c r="CK6" s="2">
        <v>4017</v>
      </c>
      <c r="CL6" s="2">
        <v>1480</v>
      </c>
      <c r="CM6" s="13">
        <v>1407</v>
      </c>
      <c r="CN6" s="13">
        <v>1537</v>
      </c>
      <c r="CO6" s="13">
        <v>2158</v>
      </c>
      <c r="CP6" s="13">
        <v>2319</v>
      </c>
      <c r="CQ6" s="13">
        <v>1648</v>
      </c>
      <c r="CR6" s="13">
        <v>434</v>
      </c>
      <c r="CS6" s="13">
        <v>709</v>
      </c>
      <c r="CT6" s="13">
        <v>650</v>
      </c>
      <c r="CU6" s="13">
        <v>1332</v>
      </c>
      <c r="CV6" s="13">
        <v>1525</v>
      </c>
      <c r="CW6" s="13">
        <v>1654</v>
      </c>
      <c r="CX6" s="13">
        <v>903</v>
      </c>
      <c r="CY6" s="13">
        <v>1489</v>
      </c>
      <c r="CZ6" s="13">
        <v>1827</v>
      </c>
      <c r="DA6" s="13">
        <v>1003</v>
      </c>
      <c r="DB6" s="13">
        <v>1118</v>
      </c>
      <c r="DC6" s="13">
        <v>1369</v>
      </c>
      <c r="DD6" s="13">
        <v>619</v>
      </c>
      <c r="DE6" s="13">
        <v>1138</v>
      </c>
      <c r="DF6" s="13">
        <v>2357</v>
      </c>
      <c r="DG6" s="13">
        <v>3575</v>
      </c>
      <c r="DH6" s="13">
        <v>3062</v>
      </c>
      <c r="DI6" s="13">
        <v>2352</v>
      </c>
      <c r="DJ6" s="13">
        <v>971</v>
      </c>
      <c r="DK6" s="13">
        <v>6099</v>
      </c>
      <c r="DL6" s="13">
        <v>3138</v>
      </c>
      <c r="DM6" s="13">
        <v>839</v>
      </c>
      <c r="DN6" s="13">
        <v>1272</v>
      </c>
      <c r="DO6" s="13">
        <v>445</v>
      </c>
      <c r="DP6" s="13">
        <v>1134</v>
      </c>
      <c r="DQ6" s="13">
        <v>3242</v>
      </c>
      <c r="DR6" s="13">
        <v>2765</v>
      </c>
      <c r="DS6" s="13">
        <v>2919</v>
      </c>
      <c r="DT6" s="13">
        <v>3306</v>
      </c>
      <c r="DU6" s="13">
        <v>2474</v>
      </c>
      <c r="DV6" s="13">
        <v>1882</v>
      </c>
      <c r="DW6" s="13">
        <v>1789</v>
      </c>
      <c r="DX6" s="13">
        <v>4319</v>
      </c>
      <c r="DY6" s="13">
        <v>1143</v>
      </c>
      <c r="DZ6" s="13">
        <v>672</v>
      </c>
      <c r="EA6" s="13">
        <v>489</v>
      </c>
      <c r="EB6" s="13">
        <v>642</v>
      </c>
      <c r="EC6" s="13">
        <v>510</v>
      </c>
      <c r="ED6" s="13">
        <v>482</v>
      </c>
      <c r="EE6" s="13">
        <v>409</v>
      </c>
      <c r="EF6" s="13">
        <v>856</v>
      </c>
      <c r="EG6" s="13">
        <v>707</v>
      </c>
      <c r="EH6" s="13">
        <v>2434</v>
      </c>
      <c r="EI6" s="13">
        <v>4120</v>
      </c>
      <c r="EJ6" s="13">
        <v>810</v>
      </c>
      <c r="EK6" s="13">
        <v>421</v>
      </c>
      <c r="EL6" s="13">
        <v>602</v>
      </c>
      <c r="EM6" s="13">
        <v>384</v>
      </c>
      <c r="EN6" s="13">
        <v>457</v>
      </c>
      <c r="EO6" s="13">
        <v>2228</v>
      </c>
      <c r="EP6" s="13">
        <v>4275</v>
      </c>
      <c r="EQ6" s="13">
        <v>680</v>
      </c>
      <c r="ER6" s="13">
        <v>493</v>
      </c>
      <c r="ES6" s="13">
        <v>392</v>
      </c>
      <c r="ET6" s="13">
        <v>384</v>
      </c>
      <c r="EU6" s="13">
        <v>422</v>
      </c>
      <c r="EV6" s="13">
        <v>424</v>
      </c>
      <c r="EW6" s="13">
        <v>328</v>
      </c>
      <c r="EX6" s="13">
        <v>349</v>
      </c>
      <c r="EZ6" s="34"/>
      <c r="FA6" s="34"/>
      <c r="FB6" s="34"/>
      <c r="FC6" s="34"/>
      <c r="FD6" s="34"/>
      <c r="FE6" s="34"/>
      <c r="FF6" s="34"/>
      <c r="FG6" s="34"/>
      <c r="FH6" s="34"/>
      <c r="FI6" s="31"/>
    </row>
    <row r="7" spans="1:165" s="14" customFormat="1" ht="17.25">
      <c r="A7" s="2" t="s">
        <v>35</v>
      </c>
      <c r="B7" s="2" t="s">
        <v>2</v>
      </c>
      <c r="C7" s="2">
        <v>1455</v>
      </c>
      <c r="D7" s="2">
        <v>1479</v>
      </c>
      <c r="E7" s="2">
        <v>1905</v>
      </c>
      <c r="F7" s="2">
        <v>1935</v>
      </c>
      <c r="G7" s="2">
        <v>1343</v>
      </c>
      <c r="H7" s="2">
        <v>2463</v>
      </c>
      <c r="I7" s="2">
        <v>1654</v>
      </c>
      <c r="J7" s="2">
        <v>1661</v>
      </c>
      <c r="K7" s="2">
        <v>2229</v>
      </c>
      <c r="L7" s="2">
        <v>1211</v>
      </c>
      <c r="M7" s="2">
        <v>2371</v>
      </c>
      <c r="N7" s="2">
        <v>1483</v>
      </c>
      <c r="O7" s="3">
        <v>1602</v>
      </c>
      <c r="P7" s="3">
        <v>2196</v>
      </c>
      <c r="Q7" s="3">
        <v>1969</v>
      </c>
      <c r="R7" s="3">
        <v>1628</v>
      </c>
      <c r="S7" s="3">
        <v>1849</v>
      </c>
      <c r="T7" s="3">
        <v>2841</v>
      </c>
      <c r="U7" s="3">
        <v>2546</v>
      </c>
      <c r="V7" s="3">
        <v>1884</v>
      </c>
      <c r="W7" s="3">
        <v>1793</v>
      </c>
      <c r="X7" s="3">
        <v>1476</v>
      </c>
      <c r="Y7" s="3">
        <v>2049</v>
      </c>
      <c r="Z7" s="3">
        <v>1576</v>
      </c>
      <c r="AA7" s="3">
        <v>1703</v>
      </c>
      <c r="AB7" s="3">
        <v>2032</v>
      </c>
      <c r="AC7" s="3">
        <v>1609</v>
      </c>
      <c r="AD7" s="3">
        <v>2137</v>
      </c>
      <c r="AE7" s="3">
        <v>1617</v>
      </c>
      <c r="AF7" s="3">
        <v>1975</v>
      </c>
      <c r="AG7" s="3">
        <v>1496</v>
      </c>
      <c r="AH7" s="3">
        <v>1587</v>
      </c>
      <c r="AI7" s="3">
        <v>1204</v>
      </c>
      <c r="AJ7" s="3">
        <v>1165</v>
      </c>
      <c r="AK7" s="3">
        <v>1405</v>
      </c>
      <c r="AL7" s="3">
        <v>983</v>
      </c>
      <c r="AM7" s="2">
        <v>1177</v>
      </c>
      <c r="AN7" s="2">
        <v>1393</v>
      </c>
      <c r="AO7" s="2">
        <v>1936</v>
      </c>
      <c r="AP7" s="2">
        <v>1039</v>
      </c>
      <c r="AQ7" s="2">
        <v>1460</v>
      </c>
      <c r="AR7" s="2">
        <v>1949</v>
      </c>
      <c r="AS7" s="2">
        <v>1738</v>
      </c>
      <c r="AT7" s="2">
        <v>1556</v>
      </c>
      <c r="AU7" s="2">
        <v>1308</v>
      </c>
      <c r="AV7" s="2">
        <v>896</v>
      </c>
      <c r="AW7" s="2">
        <v>1046</v>
      </c>
      <c r="AX7" s="2">
        <v>923</v>
      </c>
      <c r="AY7" s="4">
        <v>1799</v>
      </c>
      <c r="AZ7" s="4">
        <v>1252</v>
      </c>
      <c r="BA7" s="4">
        <v>1491</v>
      </c>
      <c r="BB7" s="4">
        <v>978</v>
      </c>
      <c r="BC7" s="4">
        <v>1091</v>
      </c>
      <c r="BD7" s="4">
        <v>911</v>
      </c>
      <c r="BE7" s="4">
        <v>1169</v>
      </c>
      <c r="BF7" s="4">
        <v>1304</v>
      </c>
      <c r="BG7" s="4">
        <v>1242</v>
      </c>
      <c r="BH7" s="4">
        <v>700</v>
      </c>
      <c r="BI7" s="4">
        <v>940</v>
      </c>
      <c r="BJ7" s="4">
        <v>918</v>
      </c>
      <c r="BK7" s="3">
        <v>1078</v>
      </c>
      <c r="BL7" s="3">
        <v>1345</v>
      </c>
      <c r="BM7" s="3">
        <v>1227</v>
      </c>
      <c r="BN7" s="3">
        <v>1090</v>
      </c>
      <c r="BO7" s="3">
        <v>1163</v>
      </c>
      <c r="BP7" s="3">
        <v>1229</v>
      </c>
      <c r="BQ7" s="3">
        <v>1214</v>
      </c>
      <c r="BR7" s="3">
        <v>1304</v>
      </c>
      <c r="BS7" s="3">
        <v>670</v>
      </c>
      <c r="BT7" s="3">
        <v>684</v>
      </c>
      <c r="BU7" s="3">
        <v>816</v>
      </c>
      <c r="BV7" s="3">
        <v>846</v>
      </c>
      <c r="BW7" s="3">
        <v>914</v>
      </c>
      <c r="BX7" s="3">
        <v>968</v>
      </c>
      <c r="BY7" s="3">
        <v>498</v>
      </c>
      <c r="BZ7" s="3">
        <v>443</v>
      </c>
      <c r="CA7" s="3">
        <v>1132</v>
      </c>
      <c r="CB7" s="3">
        <v>982</v>
      </c>
      <c r="CC7" s="3">
        <v>1595</v>
      </c>
      <c r="CD7" s="3">
        <v>1061</v>
      </c>
      <c r="CE7" s="3">
        <v>15974</v>
      </c>
      <c r="CF7" s="3">
        <v>738</v>
      </c>
      <c r="CG7" s="3">
        <v>986</v>
      </c>
      <c r="CH7" s="3">
        <v>1196</v>
      </c>
      <c r="CI7" s="2">
        <v>1121</v>
      </c>
      <c r="CJ7" s="2">
        <v>1886</v>
      </c>
      <c r="CK7" s="2">
        <v>3897</v>
      </c>
      <c r="CL7" s="2">
        <v>1404</v>
      </c>
      <c r="CM7" s="13">
        <v>2870</v>
      </c>
      <c r="CN7" s="13">
        <v>2081</v>
      </c>
      <c r="CO7" s="13">
        <v>2470</v>
      </c>
      <c r="CP7" s="13">
        <v>3597</v>
      </c>
      <c r="CQ7" s="13">
        <v>2203</v>
      </c>
      <c r="CR7" s="13">
        <v>835</v>
      </c>
      <c r="CS7" s="13">
        <v>728</v>
      </c>
      <c r="CT7" s="13">
        <v>769</v>
      </c>
      <c r="CU7" s="13">
        <v>1359</v>
      </c>
      <c r="CV7" s="13">
        <v>1929</v>
      </c>
      <c r="CW7" s="13">
        <v>1310</v>
      </c>
      <c r="CX7" s="13">
        <v>1960</v>
      </c>
      <c r="CY7" s="13">
        <v>1592</v>
      </c>
      <c r="CZ7" s="13">
        <v>1254</v>
      </c>
      <c r="DA7" s="13">
        <v>1032</v>
      </c>
      <c r="DB7" s="13">
        <v>1397</v>
      </c>
      <c r="DC7" s="13">
        <v>2243</v>
      </c>
      <c r="DD7" s="13">
        <v>977</v>
      </c>
      <c r="DE7" s="13">
        <v>1647</v>
      </c>
      <c r="DF7" s="13">
        <v>2562</v>
      </c>
      <c r="DG7" s="13">
        <v>3289</v>
      </c>
      <c r="DH7" s="13">
        <v>4532</v>
      </c>
      <c r="DI7" s="13">
        <v>3471</v>
      </c>
      <c r="DJ7" s="13">
        <v>1375</v>
      </c>
      <c r="DK7" s="13">
        <v>7699</v>
      </c>
      <c r="DL7" s="13">
        <v>3106</v>
      </c>
      <c r="DM7" s="13">
        <v>945</v>
      </c>
      <c r="DN7" s="13">
        <v>1108</v>
      </c>
      <c r="DO7" s="13">
        <v>635</v>
      </c>
      <c r="DP7" s="13">
        <v>1144</v>
      </c>
      <c r="DQ7" s="13">
        <v>3161</v>
      </c>
      <c r="DR7" s="13">
        <v>2674</v>
      </c>
      <c r="DS7" s="13">
        <v>2416</v>
      </c>
      <c r="DT7" s="13">
        <v>3248</v>
      </c>
      <c r="DU7" s="13">
        <v>2815</v>
      </c>
      <c r="DV7" s="13">
        <v>3309</v>
      </c>
      <c r="DW7" s="13">
        <v>3639</v>
      </c>
      <c r="DX7" s="13">
        <v>6927</v>
      </c>
      <c r="DY7" s="13">
        <v>2478</v>
      </c>
      <c r="DZ7" s="13">
        <v>2805</v>
      </c>
      <c r="EA7" s="13">
        <v>1329</v>
      </c>
      <c r="EB7" s="13">
        <v>1326</v>
      </c>
      <c r="EC7" s="13">
        <v>1539</v>
      </c>
      <c r="ED7" s="13">
        <v>836</v>
      </c>
      <c r="EE7" s="13">
        <v>1040</v>
      </c>
      <c r="EF7" s="13">
        <v>1991</v>
      </c>
      <c r="EG7" s="13">
        <v>1476</v>
      </c>
      <c r="EH7" s="13">
        <v>2798</v>
      </c>
      <c r="EI7" s="13">
        <v>4264</v>
      </c>
      <c r="EJ7" s="13">
        <v>1789</v>
      </c>
      <c r="EK7" s="13">
        <v>1611</v>
      </c>
      <c r="EL7" s="13">
        <v>1718</v>
      </c>
      <c r="EM7" s="13">
        <v>1665</v>
      </c>
      <c r="EN7" s="13">
        <v>1024</v>
      </c>
      <c r="EO7" s="13">
        <v>4570</v>
      </c>
      <c r="EP7" s="13">
        <v>3296</v>
      </c>
      <c r="EQ7" s="13">
        <v>947</v>
      </c>
      <c r="ER7" s="13">
        <v>1185</v>
      </c>
      <c r="ES7" s="13">
        <v>1323</v>
      </c>
      <c r="ET7" s="13">
        <v>948</v>
      </c>
      <c r="EU7" s="13">
        <v>776</v>
      </c>
      <c r="EV7" s="13">
        <v>1226</v>
      </c>
      <c r="EW7" s="13">
        <v>848</v>
      </c>
      <c r="EX7" s="13">
        <v>732</v>
      </c>
      <c r="EZ7" s="31"/>
      <c r="FA7" s="31"/>
      <c r="FB7" s="31"/>
      <c r="FC7" s="31"/>
      <c r="FD7" s="31"/>
      <c r="FE7" s="31"/>
      <c r="FF7" s="31"/>
      <c r="FG7" s="31"/>
      <c r="FH7" s="31"/>
      <c r="FI7" s="31"/>
    </row>
    <row r="8" spans="1:165" s="14" customFormat="1" ht="21">
      <c r="A8" s="2" t="s">
        <v>36</v>
      </c>
      <c r="B8" s="2" t="s">
        <v>3</v>
      </c>
      <c r="C8" s="2">
        <v>3199</v>
      </c>
      <c r="D8" s="2">
        <v>4005</v>
      </c>
      <c r="E8" s="2">
        <v>4289</v>
      </c>
      <c r="F8" s="2">
        <v>3912</v>
      </c>
      <c r="G8" s="2">
        <v>3208</v>
      </c>
      <c r="H8" s="2">
        <v>4746</v>
      </c>
      <c r="I8" s="2">
        <v>4340</v>
      </c>
      <c r="J8" s="2">
        <v>5115</v>
      </c>
      <c r="K8" s="2">
        <v>5561</v>
      </c>
      <c r="L8" s="2">
        <v>3166</v>
      </c>
      <c r="M8" s="2">
        <v>4520</v>
      </c>
      <c r="N8" s="2">
        <v>4083</v>
      </c>
      <c r="O8" s="3">
        <v>4119</v>
      </c>
      <c r="P8" s="3">
        <v>5728</v>
      </c>
      <c r="Q8" s="3">
        <v>4248</v>
      </c>
      <c r="R8" s="3">
        <v>3892</v>
      </c>
      <c r="S8" s="3">
        <v>4447</v>
      </c>
      <c r="T8" s="3">
        <v>6078</v>
      </c>
      <c r="U8" s="3">
        <v>5479</v>
      </c>
      <c r="V8" s="3">
        <v>4165</v>
      </c>
      <c r="W8" s="3">
        <v>3886</v>
      </c>
      <c r="X8" s="3">
        <v>3480</v>
      </c>
      <c r="Y8" s="3">
        <v>6231</v>
      </c>
      <c r="Z8" s="3">
        <v>4632</v>
      </c>
      <c r="AA8" s="3">
        <v>4764</v>
      </c>
      <c r="AB8" s="3">
        <v>4661</v>
      </c>
      <c r="AC8" s="3">
        <v>4719</v>
      </c>
      <c r="AD8" s="3">
        <v>4010</v>
      </c>
      <c r="AE8" s="3">
        <v>4723</v>
      </c>
      <c r="AF8" s="3">
        <v>4117</v>
      </c>
      <c r="AG8" s="3">
        <v>3938</v>
      </c>
      <c r="AH8" s="3">
        <v>3851</v>
      </c>
      <c r="AI8" s="3">
        <v>3738</v>
      </c>
      <c r="AJ8" s="3">
        <v>2588</v>
      </c>
      <c r="AK8" s="3">
        <v>4004</v>
      </c>
      <c r="AL8" s="3">
        <v>3090</v>
      </c>
      <c r="AM8" s="2">
        <v>3421</v>
      </c>
      <c r="AN8" s="2">
        <v>4423</v>
      </c>
      <c r="AO8" s="2">
        <v>3989</v>
      </c>
      <c r="AP8" s="2">
        <v>3123</v>
      </c>
      <c r="AQ8" s="2">
        <v>3629</v>
      </c>
      <c r="AR8" s="2">
        <v>5099</v>
      </c>
      <c r="AS8" s="2">
        <v>4511</v>
      </c>
      <c r="AT8" s="2">
        <v>3194</v>
      </c>
      <c r="AU8" s="2">
        <v>3328</v>
      </c>
      <c r="AV8" s="2">
        <v>2568</v>
      </c>
      <c r="AW8" s="2">
        <v>3013</v>
      </c>
      <c r="AX8" s="2">
        <v>2846</v>
      </c>
      <c r="AY8" s="4">
        <v>6171</v>
      </c>
      <c r="AZ8" s="4">
        <v>3850</v>
      </c>
      <c r="BA8" s="4">
        <v>3554</v>
      </c>
      <c r="BB8" s="4">
        <v>3468</v>
      </c>
      <c r="BC8" s="4">
        <v>4609</v>
      </c>
      <c r="BD8" s="4">
        <v>3338</v>
      </c>
      <c r="BE8" s="4">
        <v>2768</v>
      </c>
      <c r="BF8" s="4">
        <v>3096</v>
      </c>
      <c r="BG8" s="4">
        <v>3644</v>
      </c>
      <c r="BH8" s="4">
        <v>2436</v>
      </c>
      <c r="BI8" s="4">
        <v>3102</v>
      </c>
      <c r="BJ8" s="4">
        <v>2817</v>
      </c>
      <c r="BK8" s="3">
        <v>3325</v>
      </c>
      <c r="BL8" s="3">
        <v>4317</v>
      </c>
      <c r="BM8" s="3">
        <v>6551</v>
      </c>
      <c r="BN8" s="3">
        <v>4593</v>
      </c>
      <c r="BO8" s="3">
        <v>4650</v>
      </c>
      <c r="BP8" s="3">
        <v>3535</v>
      </c>
      <c r="BQ8" s="3">
        <v>2749</v>
      </c>
      <c r="BR8" s="3">
        <v>3195</v>
      </c>
      <c r="BS8" s="3">
        <v>2082</v>
      </c>
      <c r="BT8" s="3">
        <v>1678</v>
      </c>
      <c r="BU8" s="3">
        <v>2069</v>
      </c>
      <c r="BV8" s="3">
        <v>2531</v>
      </c>
      <c r="BW8" s="3">
        <v>2249</v>
      </c>
      <c r="BX8" s="3">
        <v>2780</v>
      </c>
      <c r="BY8" s="3">
        <v>2090</v>
      </c>
      <c r="BZ8" s="3">
        <v>3672</v>
      </c>
      <c r="CA8" s="3">
        <v>5672</v>
      </c>
      <c r="CB8" s="3">
        <v>7818</v>
      </c>
      <c r="CC8" s="3">
        <v>7602</v>
      </c>
      <c r="CD8" s="3">
        <v>6646</v>
      </c>
      <c r="CE8" s="3">
        <v>48696</v>
      </c>
      <c r="CF8" s="3">
        <v>2779</v>
      </c>
      <c r="CG8" s="3">
        <v>4300</v>
      </c>
      <c r="CH8" s="3">
        <v>4349</v>
      </c>
      <c r="CI8" s="2">
        <v>5315</v>
      </c>
      <c r="CJ8" s="2">
        <v>7284</v>
      </c>
      <c r="CK8" s="2">
        <v>12969</v>
      </c>
      <c r="CL8" s="2">
        <v>6609</v>
      </c>
      <c r="CM8" s="13">
        <v>10913</v>
      </c>
      <c r="CN8" s="13">
        <v>6061</v>
      </c>
      <c r="CO8" s="13">
        <v>7571</v>
      </c>
      <c r="CP8" s="13">
        <v>9180</v>
      </c>
      <c r="CQ8" s="13">
        <v>12269</v>
      </c>
      <c r="CR8" s="13">
        <v>3029</v>
      </c>
      <c r="CS8" s="13">
        <v>3673</v>
      </c>
      <c r="CT8" s="13">
        <v>3606</v>
      </c>
      <c r="CU8" s="13">
        <v>4458</v>
      </c>
      <c r="CV8" s="13">
        <v>7237</v>
      </c>
      <c r="CW8" s="13">
        <v>8545</v>
      </c>
      <c r="CX8" s="13">
        <v>4722</v>
      </c>
      <c r="CY8" s="13">
        <v>5905</v>
      </c>
      <c r="CZ8" s="13">
        <v>5793</v>
      </c>
      <c r="DA8" s="13">
        <v>5367</v>
      </c>
      <c r="DB8" s="13">
        <v>5651</v>
      </c>
      <c r="DC8" s="13">
        <v>5374</v>
      </c>
      <c r="DD8" s="13">
        <v>4371</v>
      </c>
      <c r="DE8" s="13">
        <v>6509</v>
      </c>
      <c r="DF8" s="13">
        <v>11065</v>
      </c>
      <c r="DG8" s="13">
        <v>15113</v>
      </c>
      <c r="DH8" s="13">
        <v>20560</v>
      </c>
      <c r="DI8" s="13">
        <v>14454</v>
      </c>
      <c r="DJ8" s="13">
        <v>5575</v>
      </c>
      <c r="DK8" s="13">
        <v>18124</v>
      </c>
      <c r="DL8" s="13">
        <v>15193</v>
      </c>
      <c r="DM8" s="13">
        <v>5562</v>
      </c>
      <c r="DN8" s="13">
        <v>3978</v>
      </c>
      <c r="DO8" s="13">
        <v>2824</v>
      </c>
      <c r="DP8" s="13">
        <v>6681</v>
      </c>
      <c r="DQ8" s="13">
        <v>12585</v>
      </c>
      <c r="DR8" s="13">
        <v>11123</v>
      </c>
      <c r="DS8" s="13">
        <v>13384</v>
      </c>
      <c r="DT8" s="13">
        <v>15325</v>
      </c>
      <c r="DU8" s="13">
        <v>13058</v>
      </c>
      <c r="DV8" s="13">
        <v>12633</v>
      </c>
      <c r="DW8" s="13">
        <v>12148</v>
      </c>
      <c r="DX8" s="13">
        <v>23510</v>
      </c>
      <c r="DY8" s="13">
        <v>11342</v>
      </c>
      <c r="DZ8" s="13">
        <v>12026</v>
      </c>
      <c r="EA8" s="13">
        <v>7646</v>
      </c>
      <c r="EB8" s="13">
        <v>8147</v>
      </c>
      <c r="EC8" s="13">
        <v>6909</v>
      </c>
      <c r="ED8" s="13">
        <v>6467</v>
      </c>
      <c r="EE8" s="13">
        <v>5788</v>
      </c>
      <c r="EF8" s="13">
        <v>6996</v>
      </c>
      <c r="EG8" s="13">
        <v>7568</v>
      </c>
      <c r="EH8" s="13">
        <v>7246</v>
      </c>
      <c r="EI8" s="13">
        <v>14023</v>
      </c>
      <c r="EJ8" s="13">
        <v>7766</v>
      </c>
      <c r="EK8" s="13">
        <v>6480</v>
      </c>
      <c r="EL8" s="13">
        <v>6596</v>
      </c>
      <c r="EM8" s="13">
        <v>4114</v>
      </c>
      <c r="EN8" s="13">
        <v>5913</v>
      </c>
      <c r="EO8" s="13">
        <v>10840</v>
      </c>
      <c r="EP8" s="13">
        <v>8692</v>
      </c>
      <c r="EQ8" s="13">
        <v>5014</v>
      </c>
      <c r="ER8" s="13">
        <v>6680</v>
      </c>
      <c r="ES8" s="13">
        <v>6137</v>
      </c>
      <c r="ET8" s="13">
        <v>4457</v>
      </c>
      <c r="EU8" s="13">
        <v>3759</v>
      </c>
      <c r="EV8" s="13">
        <v>4354</v>
      </c>
      <c r="EW8" s="13">
        <v>4906</v>
      </c>
      <c r="EX8" s="13">
        <v>3324</v>
      </c>
      <c r="EZ8" s="32"/>
      <c r="FA8" s="32"/>
      <c r="FB8" s="32"/>
      <c r="FC8" s="32"/>
      <c r="FD8" s="32"/>
      <c r="FE8" s="32"/>
      <c r="FF8" s="32"/>
      <c r="FG8" s="32"/>
      <c r="FH8" s="32"/>
      <c r="FI8" s="31"/>
    </row>
    <row r="9" spans="1:165" s="14" customFormat="1" ht="17.25">
      <c r="A9" s="2" t="s">
        <v>37</v>
      </c>
      <c r="B9" s="2" t="s">
        <v>4</v>
      </c>
      <c r="C9" s="2">
        <v>16324</v>
      </c>
      <c r="D9" s="2">
        <v>14751</v>
      </c>
      <c r="E9" s="2">
        <v>5847</v>
      </c>
      <c r="F9" s="2">
        <v>5533</v>
      </c>
      <c r="G9" s="2">
        <v>4431</v>
      </c>
      <c r="H9" s="2">
        <v>7492</v>
      </c>
      <c r="I9" s="2">
        <v>6678</v>
      </c>
      <c r="J9" s="2">
        <v>5769</v>
      </c>
      <c r="K9" s="2">
        <v>8026</v>
      </c>
      <c r="L9" s="2">
        <v>4586</v>
      </c>
      <c r="M9" s="2">
        <v>6252</v>
      </c>
      <c r="N9" s="2">
        <v>5262</v>
      </c>
      <c r="O9" s="3">
        <v>5594</v>
      </c>
      <c r="P9" s="3">
        <v>7111</v>
      </c>
      <c r="Q9" s="3">
        <v>6257</v>
      </c>
      <c r="R9" s="3">
        <v>5481</v>
      </c>
      <c r="S9" s="3">
        <v>6479</v>
      </c>
      <c r="T9" s="3">
        <v>8254</v>
      </c>
      <c r="U9" s="3">
        <v>7250</v>
      </c>
      <c r="V9" s="3">
        <v>6170</v>
      </c>
      <c r="W9" s="3">
        <v>5559</v>
      </c>
      <c r="X9" s="3">
        <v>4739</v>
      </c>
      <c r="Y9" s="3">
        <v>7553</v>
      </c>
      <c r="Z9" s="3">
        <v>5567</v>
      </c>
      <c r="AA9" s="3">
        <v>6749</v>
      </c>
      <c r="AB9" s="3">
        <v>6935</v>
      </c>
      <c r="AC9" s="3">
        <v>6170</v>
      </c>
      <c r="AD9" s="3">
        <v>5833</v>
      </c>
      <c r="AE9" s="3">
        <v>5780</v>
      </c>
      <c r="AF9" s="3">
        <v>5685</v>
      </c>
      <c r="AG9" s="3">
        <v>4232</v>
      </c>
      <c r="AH9" s="3">
        <v>4472</v>
      </c>
      <c r="AI9" s="3">
        <v>4182</v>
      </c>
      <c r="AJ9" s="3">
        <v>3177</v>
      </c>
      <c r="AK9" s="3">
        <v>5374</v>
      </c>
      <c r="AL9" s="3">
        <v>4553</v>
      </c>
      <c r="AM9" s="2">
        <v>4819</v>
      </c>
      <c r="AN9" s="2">
        <v>5517</v>
      </c>
      <c r="AO9" s="2">
        <v>6654</v>
      </c>
      <c r="AP9" s="2">
        <v>8007</v>
      </c>
      <c r="AQ9" s="2">
        <v>5440</v>
      </c>
      <c r="AR9" s="2">
        <v>7228</v>
      </c>
      <c r="AS9" s="2">
        <v>5872</v>
      </c>
      <c r="AT9" s="2">
        <v>4997</v>
      </c>
      <c r="AU9" s="2">
        <v>4818</v>
      </c>
      <c r="AV9" s="2">
        <v>3463</v>
      </c>
      <c r="AW9" s="2">
        <v>4715</v>
      </c>
      <c r="AX9" s="2">
        <v>4028</v>
      </c>
      <c r="AY9" s="4">
        <v>6688</v>
      </c>
      <c r="AZ9" s="4">
        <v>4878</v>
      </c>
      <c r="BA9" s="4">
        <v>4490</v>
      </c>
      <c r="BB9" s="4">
        <v>4933</v>
      </c>
      <c r="BC9" s="4">
        <v>5599</v>
      </c>
      <c r="BD9" s="4">
        <v>4735</v>
      </c>
      <c r="BE9" s="4">
        <v>3872</v>
      </c>
      <c r="BF9" s="4">
        <v>3818</v>
      </c>
      <c r="BG9" s="4">
        <v>3723</v>
      </c>
      <c r="BH9" s="4">
        <v>3817</v>
      </c>
      <c r="BI9" s="4">
        <v>4611</v>
      </c>
      <c r="BJ9" s="4">
        <v>4207</v>
      </c>
      <c r="BK9" s="3">
        <v>4059</v>
      </c>
      <c r="BL9" s="3">
        <v>5721</v>
      </c>
      <c r="BM9" s="3">
        <v>6697</v>
      </c>
      <c r="BN9" s="3">
        <v>6304</v>
      </c>
      <c r="BO9" s="3">
        <v>6021</v>
      </c>
      <c r="BP9" s="3">
        <v>5290</v>
      </c>
      <c r="BQ9" s="3">
        <v>4020</v>
      </c>
      <c r="BR9" s="3">
        <v>5906</v>
      </c>
      <c r="BS9" s="3">
        <v>3102</v>
      </c>
      <c r="BT9" s="3">
        <v>2853</v>
      </c>
      <c r="BU9" s="3">
        <v>3090</v>
      </c>
      <c r="BV9" s="3">
        <v>3414</v>
      </c>
      <c r="BW9" s="3">
        <v>3142</v>
      </c>
      <c r="BX9" s="3">
        <v>3323</v>
      </c>
      <c r="BY9" s="3">
        <v>2951</v>
      </c>
      <c r="BZ9" s="3">
        <v>3462</v>
      </c>
      <c r="CA9" s="3">
        <v>4031</v>
      </c>
      <c r="CB9" s="3">
        <v>4762</v>
      </c>
      <c r="CC9" s="3">
        <v>4974</v>
      </c>
      <c r="CD9" s="3">
        <v>5603</v>
      </c>
      <c r="CE9" s="3">
        <v>28575</v>
      </c>
      <c r="CF9" s="3">
        <v>2090</v>
      </c>
      <c r="CG9" s="3">
        <v>3085</v>
      </c>
      <c r="CH9" s="3">
        <v>4670</v>
      </c>
      <c r="CI9" s="2">
        <v>3183</v>
      </c>
      <c r="CJ9" s="2">
        <v>4251</v>
      </c>
      <c r="CK9" s="2">
        <v>7230</v>
      </c>
      <c r="CL9" s="2">
        <v>3828</v>
      </c>
      <c r="CM9" s="13">
        <v>4513</v>
      </c>
      <c r="CN9" s="13">
        <v>4726</v>
      </c>
      <c r="CO9" s="13">
        <v>3902</v>
      </c>
      <c r="CP9" s="13">
        <v>6412</v>
      </c>
      <c r="CQ9" s="13">
        <v>6638</v>
      </c>
      <c r="CR9" s="13">
        <v>2273</v>
      </c>
      <c r="CS9" s="13">
        <v>3005</v>
      </c>
      <c r="CT9" s="13">
        <v>2649</v>
      </c>
      <c r="CU9" s="13">
        <v>2511</v>
      </c>
      <c r="CV9" s="13">
        <v>4939</v>
      </c>
      <c r="CW9" s="13">
        <v>5177</v>
      </c>
      <c r="CX9" s="13">
        <v>3633</v>
      </c>
      <c r="CY9" s="13">
        <v>6362</v>
      </c>
      <c r="CZ9" s="13">
        <v>4983</v>
      </c>
      <c r="DA9" s="13">
        <v>4057</v>
      </c>
      <c r="DB9" s="13">
        <v>5904</v>
      </c>
      <c r="DC9" s="13">
        <v>5413</v>
      </c>
      <c r="DD9" s="13">
        <v>2435</v>
      </c>
      <c r="DE9" s="13">
        <v>4908</v>
      </c>
      <c r="DF9" s="13">
        <v>7717</v>
      </c>
      <c r="DG9" s="13">
        <v>10211</v>
      </c>
      <c r="DH9" s="13">
        <v>11038</v>
      </c>
      <c r="DI9" s="13">
        <v>8772</v>
      </c>
      <c r="DJ9" s="13">
        <v>3515</v>
      </c>
      <c r="DK9" s="13">
        <v>10487</v>
      </c>
      <c r="DL9" s="13">
        <v>8177</v>
      </c>
      <c r="DM9" s="13">
        <v>4733</v>
      </c>
      <c r="DN9" s="13">
        <v>2354</v>
      </c>
      <c r="DO9" s="13">
        <v>1553</v>
      </c>
      <c r="DP9" s="13">
        <v>4390</v>
      </c>
      <c r="DQ9" s="13">
        <v>8669</v>
      </c>
      <c r="DR9" s="13">
        <v>7823</v>
      </c>
      <c r="DS9" s="13">
        <v>8671</v>
      </c>
      <c r="DT9" s="13">
        <v>9852</v>
      </c>
      <c r="DU9" s="13">
        <v>12058</v>
      </c>
      <c r="DV9" s="13">
        <v>9292</v>
      </c>
      <c r="DW9" s="13">
        <v>9092</v>
      </c>
      <c r="DX9" s="13">
        <v>17580</v>
      </c>
      <c r="DY9" s="13">
        <v>8528</v>
      </c>
      <c r="DZ9" s="13">
        <v>7540</v>
      </c>
      <c r="EA9" s="13">
        <v>5556</v>
      </c>
      <c r="EB9" s="13">
        <v>5292</v>
      </c>
      <c r="EC9" s="13">
        <v>6583</v>
      </c>
      <c r="ED9" s="13">
        <v>4719</v>
      </c>
      <c r="EE9" s="13">
        <v>4909</v>
      </c>
      <c r="EF9" s="13">
        <v>4566</v>
      </c>
      <c r="EG9" s="13">
        <v>6364</v>
      </c>
      <c r="EH9" s="13">
        <v>7853</v>
      </c>
      <c r="EI9" s="13">
        <v>12296</v>
      </c>
      <c r="EJ9" s="13">
        <v>5068</v>
      </c>
      <c r="EK9" s="13">
        <v>4270</v>
      </c>
      <c r="EL9" s="13">
        <v>3642</v>
      </c>
      <c r="EM9" s="13">
        <v>2447</v>
      </c>
      <c r="EN9" s="13">
        <v>4603</v>
      </c>
      <c r="EO9" s="13">
        <v>8305</v>
      </c>
      <c r="EP9" s="13">
        <v>5971</v>
      </c>
      <c r="EQ9" s="13">
        <v>3798</v>
      </c>
      <c r="ER9" s="13">
        <v>4454</v>
      </c>
      <c r="ES9" s="13">
        <v>3353</v>
      </c>
      <c r="ET9" s="13">
        <v>3489</v>
      </c>
      <c r="EU9" s="13">
        <v>2890</v>
      </c>
      <c r="EV9" s="13">
        <v>3198</v>
      </c>
      <c r="EW9" s="13">
        <v>3350</v>
      </c>
      <c r="EX9" s="13">
        <v>2197</v>
      </c>
      <c r="EZ9" s="31"/>
      <c r="FA9" s="31"/>
      <c r="FB9" s="31"/>
      <c r="FC9" s="31"/>
      <c r="FD9" s="31"/>
      <c r="FE9" s="31"/>
      <c r="FF9" s="31"/>
      <c r="FG9" s="31"/>
      <c r="FH9" s="31"/>
      <c r="FI9" s="31"/>
    </row>
    <row r="10" spans="1:165" s="14" customFormat="1" ht="17.25">
      <c r="A10" s="2" t="s">
        <v>38</v>
      </c>
      <c r="B10" s="2" t="s">
        <v>5</v>
      </c>
      <c r="C10" s="2">
        <v>5259</v>
      </c>
      <c r="D10" s="2">
        <v>5835</v>
      </c>
      <c r="E10" s="2">
        <v>7017</v>
      </c>
      <c r="F10" s="2">
        <v>5767</v>
      </c>
      <c r="G10" s="2">
        <v>5568</v>
      </c>
      <c r="H10" s="2">
        <v>7129</v>
      </c>
      <c r="I10" s="2">
        <v>7329</v>
      </c>
      <c r="J10" s="2">
        <v>6744</v>
      </c>
      <c r="K10" s="2">
        <v>8326</v>
      </c>
      <c r="L10" s="2">
        <v>5371</v>
      </c>
      <c r="M10" s="2">
        <v>7276</v>
      </c>
      <c r="N10" s="2">
        <v>6442</v>
      </c>
      <c r="O10" s="3">
        <v>6839</v>
      </c>
      <c r="P10" s="3">
        <v>7993</v>
      </c>
      <c r="Q10" s="3">
        <v>7496</v>
      </c>
      <c r="R10" s="3">
        <v>6482</v>
      </c>
      <c r="S10" s="3">
        <v>7830</v>
      </c>
      <c r="T10" s="3">
        <v>9496</v>
      </c>
      <c r="U10" s="3">
        <v>8106</v>
      </c>
      <c r="V10" s="3">
        <v>6684</v>
      </c>
      <c r="W10" s="3">
        <v>7029</v>
      </c>
      <c r="X10" s="3">
        <v>5655</v>
      </c>
      <c r="Y10" s="3">
        <v>7884</v>
      </c>
      <c r="Z10" s="3">
        <v>6829</v>
      </c>
      <c r="AA10" s="3">
        <v>7187</v>
      </c>
      <c r="AB10" s="3">
        <v>7425</v>
      </c>
      <c r="AC10" s="3">
        <v>7142</v>
      </c>
      <c r="AD10" s="3">
        <v>7244</v>
      </c>
      <c r="AE10" s="3">
        <v>7293</v>
      </c>
      <c r="AF10" s="3">
        <v>7519</v>
      </c>
      <c r="AG10" s="3">
        <v>5397</v>
      </c>
      <c r="AH10" s="3">
        <v>6306</v>
      </c>
      <c r="AI10" s="3">
        <v>5046</v>
      </c>
      <c r="AJ10" s="3">
        <v>4744</v>
      </c>
      <c r="AK10" s="3">
        <v>6349</v>
      </c>
      <c r="AL10" s="3">
        <v>5492</v>
      </c>
      <c r="AM10" s="2">
        <v>5784</v>
      </c>
      <c r="AN10" s="2">
        <v>6333</v>
      </c>
      <c r="AO10" s="2">
        <v>6782</v>
      </c>
      <c r="AP10" s="2">
        <v>5056</v>
      </c>
      <c r="AQ10" s="2">
        <v>6697</v>
      </c>
      <c r="AR10" s="2">
        <v>9052</v>
      </c>
      <c r="AS10" s="2">
        <v>7491</v>
      </c>
      <c r="AT10" s="2">
        <v>6644</v>
      </c>
      <c r="AU10" s="2">
        <v>6436</v>
      </c>
      <c r="AV10" s="2">
        <v>4232</v>
      </c>
      <c r="AW10" s="2">
        <v>5028</v>
      </c>
      <c r="AX10" s="2">
        <v>5395</v>
      </c>
      <c r="AY10" s="4">
        <v>8064</v>
      </c>
      <c r="AZ10" s="4">
        <v>6427</v>
      </c>
      <c r="BA10" s="4">
        <v>6591</v>
      </c>
      <c r="BB10" s="4">
        <v>6886</v>
      </c>
      <c r="BC10" s="4">
        <v>6066</v>
      </c>
      <c r="BD10" s="4">
        <v>4782</v>
      </c>
      <c r="BE10" s="4">
        <v>4837</v>
      </c>
      <c r="BF10" s="4">
        <v>5071</v>
      </c>
      <c r="BG10" s="4">
        <v>5638</v>
      </c>
      <c r="BH10" s="4">
        <v>3823</v>
      </c>
      <c r="BI10" s="4">
        <v>4761</v>
      </c>
      <c r="BJ10" s="4">
        <v>5845</v>
      </c>
      <c r="BK10" s="3">
        <v>5431</v>
      </c>
      <c r="BL10" s="3">
        <v>6397</v>
      </c>
      <c r="BM10" s="3">
        <v>7863</v>
      </c>
      <c r="BN10" s="3">
        <v>7187</v>
      </c>
      <c r="BO10" s="3">
        <v>6844</v>
      </c>
      <c r="BP10" s="3">
        <v>6498</v>
      </c>
      <c r="BQ10" s="3">
        <v>4808</v>
      </c>
      <c r="BR10" s="3">
        <v>5641</v>
      </c>
      <c r="BS10" s="3">
        <v>3411</v>
      </c>
      <c r="BT10" s="3">
        <v>3565</v>
      </c>
      <c r="BU10" s="3">
        <v>4092</v>
      </c>
      <c r="BV10" s="3">
        <v>4657</v>
      </c>
      <c r="BW10" s="3">
        <v>3801</v>
      </c>
      <c r="BX10" s="3">
        <v>4104</v>
      </c>
      <c r="BY10" s="3">
        <v>3471</v>
      </c>
      <c r="BZ10" s="3">
        <v>23063</v>
      </c>
      <c r="CA10" s="3">
        <v>3437</v>
      </c>
      <c r="CB10" s="3">
        <v>4429</v>
      </c>
      <c r="CC10" s="3">
        <v>5151</v>
      </c>
      <c r="CD10" s="3">
        <v>4070</v>
      </c>
      <c r="CE10" s="3">
        <v>49331</v>
      </c>
      <c r="CF10" s="3">
        <v>1492</v>
      </c>
      <c r="CG10" s="3">
        <v>4965</v>
      </c>
      <c r="CH10" s="3">
        <v>3905</v>
      </c>
      <c r="CI10" s="2">
        <v>2582</v>
      </c>
      <c r="CJ10" s="2">
        <v>3015</v>
      </c>
      <c r="CK10" s="2">
        <v>7259</v>
      </c>
      <c r="CL10" s="2">
        <v>4525</v>
      </c>
      <c r="CM10" s="13">
        <v>5688</v>
      </c>
      <c r="CN10" s="13">
        <v>2923</v>
      </c>
      <c r="CO10" s="13">
        <v>3319</v>
      </c>
      <c r="CP10" s="13">
        <v>4670</v>
      </c>
      <c r="CQ10" s="13">
        <v>6883</v>
      </c>
      <c r="CR10" s="13">
        <v>2219</v>
      </c>
      <c r="CS10" s="13">
        <v>2567</v>
      </c>
      <c r="CT10" s="13">
        <v>3315</v>
      </c>
      <c r="CU10" s="13">
        <v>4196</v>
      </c>
      <c r="CV10" s="13">
        <v>4264</v>
      </c>
      <c r="CW10" s="13">
        <v>6182</v>
      </c>
      <c r="CX10" s="13">
        <v>3741</v>
      </c>
      <c r="CY10" s="13">
        <v>4518</v>
      </c>
      <c r="CZ10" s="13">
        <v>4704</v>
      </c>
      <c r="DA10" s="13">
        <v>4793</v>
      </c>
      <c r="DB10" s="13">
        <v>3886</v>
      </c>
      <c r="DC10" s="13">
        <v>6145</v>
      </c>
      <c r="DD10" s="13">
        <v>2302</v>
      </c>
      <c r="DE10" s="13">
        <v>3961</v>
      </c>
      <c r="DF10" s="13">
        <v>9376</v>
      </c>
      <c r="DG10" s="13">
        <v>11055</v>
      </c>
      <c r="DH10" s="13">
        <v>14524</v>
      </c>
      <c r="DI10" s="13">
        <v>10153</v>
      </c>
      <c r="DJ10" s="13">
        <v>3728</v>
      </c>
      <c r="DK10" s="13">
        <v>12393</v>
      </c>
      <c r="DL10" s="13">
        <v>9074</v>
      </c>
      <c r="DM10" s="13">
        <v>3002</v>
      </c>
      <c r="DN10" s="13">
        <v>1981</v>
      </c>
      <c r="DO10" s="13">
        <v>2013</v>
      </c>
      <c r="DP10" s="13">
        <v>3591</v>
      </c>
      <c r="DQ10" s="13">
        <v>8927</v>
      </c>
      <c r="DR10" s="13">
        <v>7556</v>
      </c>
      <c r="DS10" s="13">
        <v>11202</v>
      </c>
      <c r="DT10" s="13">
        <v>11006</v>
      </c>
      <c r="DU10" s="13">
        <v>10337</v>
      </c>
      <c r="DV10" s="13">
        <v>11169</v>
      </c>
      <c r="DW10" s="13">
        <v>10135</v>
      </c>
      <c r="DX10" s="13">
        <v>17565</v>
      </c>
      <c r="DY10" s="13">
        <v>8384</v>
      </c>
      <c r="DZ10" s="13">
        <v>8336</v>
      </c>
      <c r="EA10" s="13">
        <v>4765</v>
      </c>
      <c r="EB10" s="13">
        <v>11888</v>
      </c>
      <c r="EC10" s="13">
        <v>6248</v>
      </c>
      <c r="ED10" s="13">
        <v>5381</v>
      </c>
      <c r="EE10" s="13">
        <v>5898</v>
      </c>
      <c r="EF10" s="13">
        <v>5475</v>
      </c>
      <c r="EG10" s="13">
        <v>7318</v>
      </c>
      <c r="EH10" s="13">
        <v>7633</v>
      </c>
      <c r="EI10" s="13">
        <v>9426</v>
      </c>
      <c r="EJ10" s="13">
        <v>5518</v>
      </c>
      <c r="EK10" s="13">
        <v>4129</v>
      </c>
      <c r="EL10" s="13">
        <v>4209</v>
      </c>
      <c r="EM10" s="13">
        <v>2809</v>
      </c>
      <c r="EN10" s="13">
        <v>3840</v>
      </c>
      <c r="EO10" s="13">
        <v>6985</v>
      </c>
      <c r="EP10" s="13">
        <v>9498</v>
      </c>
      <c r="EQ10" s="13">
        <v>4987</v>
      </c>
      <c r="ER10" s="13">
        <v>4854</v>
      </c>
      <c r="ES10" s="13">
        <v>4019</v>
      </c>
      <c r="ET10" s="13">
        <v>3570</v>
      </c>
      <c r="EU10" s="13">
        <v>2992</v>
      </c>
      <c r="EV10" s="13">
        <v>4517</v>
      </c>
      <c r="EW10" s="13">
        <v>3110</v>
      </c>
      <c r="EX10" s="13">
        <v>2733</v>
      </c>
      <c r="EZ10" s="31"/>
      <c r="FA10" s="31"/>
      <c r="FB10" s="31"/>
      <c r="FC10" s="31"/>
      <c r="FD10" s="31"/>
      <c r="FE10" s="31"/>
      <c r="FF10" s="31"/>
      <c r="FG10" s="31"/>
      <c r="FH10" s="31"/>
      <c r="FI10" s="31"/>
    </row>
    <row r="11" spans="1:165" s="14" customFormat="1" ht="17.25">
      <c r="A11" s="2" t="s">
        <v>39</v>
      </c>
      <c r="B11" s="2" t="s">
        <v>6</v>
      </c>
      <c r="C11" s="2">
        <v>227</v>
      </c>
      <c r="D11" s="2">
        <v>64</v>
      </c>
      <c r="E11" s="2">
        <v>110</v>
      </c>
      <c r="F11" s="2">
        <v>92</v>
      </c>
      <c r="G11" s="2">
        <v>72</v>
      </c>
      <c r="H11" s="2">
        <v>211</v>
      </c>
      <c r="I11" s="2">
        <v>75</v>
      </c>
      <c r="J11" s="2">
        <v>53</v>
      </c>
      <c r="K11" s="2">
        <v>72</v>
      </c>
      <c r="L11" s="2">
        <v>94</v>
      </c>
      <c r="M11" s="2">
        <v>94</v>
      </c>
      <c r="N11" s="2">
        <v>258</v>
      </c>
      <c r="O11" s="3">
        <v>94</v>
      </c>
      <c r="P11" s="3">
        <v>164</v>
      </c>
      <c r="Q11" s="3">
        <v>116</v>
      </c>
      <c r="R11" s="3">
        <v>217</v>
      </c>
      <c r="S11" s="3">
        <v>105</v>
      </c>
      <c r="T11" s="3">
        <v>75</v>
      </c>
      <c r="U11" s="3">
        <v>94</v>
      </c>
      <c r="V11" s="3">
        <v>39</v>
      </c>
      <c r="W11" s="3">
        <v>99</v>
      </c>
      <c r="X11" s="3">
        <v>92</v>
      </c>
      <c r="Y11" s="3">
        <v>252</v>
      </c>
      <c r="Z11" s="3">
        <v>96</v>
      </c>
      <c r="AA11" s="3">
        <v>128</v>
      </c>
      <c r="AB11" s="3">
        <v>175</v>
      </c>
      <c r="AC11" s="3">
        <v>72</v>
      </c>
      <c r="AD11" s="3">
        <v>84</v>
      </c>
      <c r="AE11" s="3">
        <v>155</v>
      </c>
      <c r="AF11" s="3">
        <v>114</v>
      </c>
      <c r="AG11" s="3">
        <v>62</v>
      </c>
      <c r="AH11" s="3">
        <v>46</v>
      </c>
      <c r="AI11" s="3">
        <v>135</v>
      </c>
      <c r="AJ11" s="3">
        <v>27</v>
      </c>
      <c r="AK11" s="3">
        <v>104</v>
      </c>
      <c r="AL11" s="3">
        <v>52</v>
      </c>
      <c r="AM11" s="2">
        <v>115</v>
      </c>
      <c r="AN11" s="2">
        <v>72</v>
      </c>
      <c r="AO11" s="2">
        <v>96</v>
      </c>
      <c r="AP11" s="2">
        <v>97</v>
      </c>
      <c r="AQ11" s="2">
        <v>85</v>
      </c>
      <c r="AR11" s="2">
        <v>157</v>
      </c>
      <c r="AS11" s="2">
        <v>107</v>
      </c>
      <c r="AT11" s="2">
        <v>95</v>
      </c>
      <c r="AU11" s="2">
        <v>209</v>
      </c>
      <c r="AV11" s="2">
        <v>67</v>
      </c>
      <c r="AW11" s="2">
        <v>152</v>
      </c>
      <c r="AX11" s="2">
        <v>102</v>
      </c>
      <c r="AY11" s="4">
        <v>133</v>
      </c>
      <c r="AZ11" s="4">
        <v>88</v>
      </c>
      <c r="BA11" s="4">
        <v>83</v>
      </c>
      <c r="BB11" s="4">
        <v>108</v>
      </c>
      <c r="BC11" s="4">
        <v>74</v>
      </c>
      <c r="BD11" s="4">
        <v>107</v>
      </c>
      <c r="BE11" s="4">
        <v>67</v>
      </c>
      <c r="BF11" s="4">
        <v>107</v>
      </c>
      <c r="BG11" s="4">
        <v>130</v>
      </c>
      <c r="BH11" s="4">
        <v>121</v>
      </c>
      <c r="BI11" s="4">
        <v>71</v>
      </c>
      <c r="BJ11" s="4">
        <v>70</v>
      </c>
      <c r="BK11" s="3">
        <v>71</v>
      </c>
      <c r="BL11" s="3">
        <v>106</v>
      </c>
      <c r="BM11" s="3">
        <v>72</v>
      </c>
      <c r="BN11" s="3">
        <v>43</v>
      </c>
      <c r="BO11" s="3">
        <v>104</v>
      </c>
      <c r="BP11" s="3">
        <v>71</v>
      </c>
      <c r="BQ11" s="3">
        <v>34</v>
      </c>
      <c r="BR11" s="3">
        <v>209</v>
      </c>
      <c r="BS11" s="3">
        <v>32</v>
      </c>
      <c r="BT11" s="3">
        <v>40</v>
      </c>
      <c r="BU11" s="3">
        <v>108</v>
      </c>
      <c r="BV11" s="3">
        <v>54</v>
      </c>
      <c r="BW11" s="3">
        <v>23</v>
      </c>
      <c r="BX11" s="3">
        <v>72</v>
      </c>
      <c r="BY11" s="3">
        <v>29</v>
      </c>
      <c r="BZ11" s="3">
        <v>69</v>
      </c>
      <c r="CA11" s="3">
        <v>109</v>
      </c>
      <c r="CB11" s="3">
        <v>35</v>
      </c>
      <c r="CC11" s="3">
        <v>31</v>
      </c>
      <c r="CD11" s="3">
        <v>69</v>
      </c>
      <c r="CE11" s="3">
        <v>3629</v>
      </c>
      <c r="CF11" s="3">
        <v>87</v>
      </c>
      <c r="CG11" s="3">
        <v>404</v>
      </c>
      <c r="CH11" s="3">
        <v>175</v>
      </c>
      <c r="CI11" s="2">
        <v>99</v>
      </c>
      <c r="CJ11" s="2">
        <v>96</v>
      </c>
      <c r="CK11" s="2">
        <v>242</v>
      </c>
      <c r="CL11" s="2">
        <v>182</v>
      </c>
      <c r="CM11" s="13">
        <v>386</v>
      </c>
      <c r="CN11" s="13">
        <v>92</v>
      </c>
      <c r="CO11" s="13">
        <v>172</v>
      </c>
      <c r="CP11" s="13">
        <v>47</v>
      </c>
      <c r="CQ11" s="13">
        <v>681</v>
      </c>
      <c r="CR11" s="13">
        <v>37</v>
      </c>
      <c r="CS11" s="13">
        <v>13</v>
      </c>
      <c r="CT11" s="13">
        <v>96</v>
      </c>
      <c r="CU11" s="13">
        <v>195</v>
      </c>
      <c r="CV11" s="13">
        <v>87</v>
      </c>
      <c r="CW11" s="13">
        <v>143</v>
      </c>
      <c r="CX11" s="13">
        <v>63</v>
      </c>
      <c r="CY11" s="13">
        <v>107</v>
      </c>
      <c r="CZ11" s="13">
        <v>85</v>
      </c>
      <c r="DA11" s="13">
        <v>101</v>
      </c>
      <c r="DB11" s="13">
        <v>45</v>
      </c>
      <c r="DC11" s="13">
        <v>71</v>
      </c>
      <c r="DD11" s="13">
        <v>37</v>
      </c>
      <c r="DE11" s="13">
        <v>220</v>
      </c>
      <c r="DF11" s="13">
        <v>229</v>
      </c>
      <c r="DG11" s="13">
        <v>326</v>
      </c>
      <c r="DH11" s="13">
        <v>324</v>
      </c>
      <c r="DI11" s="13">
        <v>446</v>
      </c>
      <c r="DJ11" s="13">
        <v>41</v>
      </c>
      <c r="DK11" s="13">
        <v>126</v>
      </c>
      <c r="DL11" s="13">
        <v>387</v>
      </c>
      <c r="DM11" s="13">
        <v>28</v>
      </c>
      <c r="DN11" s="13">
        <v>55</v>
      </c>
      <c r="DO11" s="13">
        <v>22</v>
      </c>
      <c r="DP11" s="13">
        <v>65</v>
      </c>
      <c r="DQ11" s="13">
        <v>541</v>
      </c>
      <c r="DR11" s="13">
        <v>321</v>
      </c>
      <c r="DS11" s="13">
        <v>367</v>
      </c>
      <c r="DT11" s="13">
        <v>174</v>
      </c>
      <c r="DU11" s="13">
        <v>156</v>
      </c>
      <c r="DV11" s="13">
        <v>154</v>
      </c>
      <c r="DW11" s="13">
        <v>266</v>
      </c>
      <c r="DX11" s="13">
        <v>1118</v>
      </c>
      <c r="DY11" s="13">
        <v>616</v>
      </c>
      <c r="DZ11" s="13">
        <v>271</v>
      </c>
      <c r="EA11" s="13">
        <v>80</v>
      </c>
      <c r="EB11" s="13">
        <v>18</v>
      </c>
      <c r="EC11" s="13">
        <v>256</v>
      </c>
      <c r="ED11" s="13">
        <v>91</v>
      </c>
      <c r="EE11" s="13">
        <v>61</v>
      </c>
      <c r="EF11" s="13">
        <v>54</v>
      </c>
      <c r="EG11" s="13">
        <v>143</v>
      </c>
      <c r="EH11" s="13">
        <v>83</v>
      </c>
      <c r="EI11" s="13">
        <v>1085</v>
      </c>
      <c r="EJ11" s="13">
        <v>95</v>
      </c>
      <c r="EK11" s="13">
        <v>14</v>
      </c>
      <c r="EL11" s="13">
        <v>55</v>
      </c>
      <c r="EM11" s="13">
        <v>89</v>
      </c>
      <c r="EN11" s="13">
        <v>47</v>
      </c>
      <c r="EO11" s="13">
        <v>62</v>
      </c>
      <c r="EP11" s="13">
        <v>206</v>
      </c>
      <c r="EQ11" s="13">
        <v>114</v>
      </c>
      <c r="ER11" s="13">
        <v>63</v>
      </c>
      <c r="ES11" s="13">
        <v>50</v>
      </c>
      <c r="ET11" s="13">
        <v>24</v>
      </c>
      <c r="EU11" s="13">
        <v>47</v>
      </c>
      <c r="EV11" s="13">
        <v>58</v>
      </c>
      <c r="EW11" s="13">
        <v>41</v>
      </c>
      <c r="EX11" s="13">
        <v>22</v>
      </c>
      <c r="EZ11" s="31"/>
      <c r="FA11" s="31"/>
      <c r="FB11" s="31"/>
      <c r="FC11" s="31"/>
      <c r="FD11" s="31"/>
      <c r="FE11" s="31"/>
      <c r="FF11" s="31"/>
      <c r="FG11" s="31"/>
      <c r="FH11" s="31"/>
    </row>
    <row r="12" spans="1:165" s="14" customFormat="1" ht="17.25">
      <c r="A12" s="2" t="s">
        <v>40</v>
      </c>
      <c r="B12" s="2" t="s">
        <v>7</v>
      </c>
      <c r="C12" s="2">
        <v>2706</v>
      </c>
      <c r="D12" s="2">
        <v>2585</v>
      </c>
      <c r="E12" s="2">
        <v>2245</v>
      </c>
      <c r="F12" s="2">
        <v>2272</v>
      </c>
      <c r="G12" s="2">
        <v>2280</v>
      </c>
      <c r="H12" s="2">
        <v>3254</v>
      </c>
      <c r="I12" s="2">
        <v>3060</v>
      </c>
      <c r="J12" s="2">
        <v>2383</v>
      </c>
      <c r="K12" s="2">
        <v>3067</v>
      </c>
      <c r="L12" s="2">
        <v>1862</v>
      </c>
      <c r="M12" s="2">
        <v>3233</v>
      </c>
      <c r="N12" s="2">
        <v>1998</v>
      </c>
      <c r="O12" s="3">
        <v>2089</v>
      </c>
      <c r="P12" s="3">
        <v>3244</v>
      </c>
      <c r="Q12" s="3">
        <v>2183</v>
      </c>
      <c r="R12" s="3">
        <v>2177</v>
      </c>
      <c r="S12" s="3">
        <v>2212</v>
      </c>
      <c r="T12" s="3">
        <v>3630</v>
      </c>
      <c r="U12" s="3">
        <v>3174</v>
      </c>
      <c r="V12" s="3">
        <v>2615</v>
      </c>
      <c r="W12" s="3">
        <v>2263</v>
      </c>
      <c r="X12" s="3">
        <v>2058</v>
      </c>
      <c r="Y12" s="3">
        <v>2874</v>
      </c>
      <c r="Z12" s="3">
        <v>2846</v>
      </c>
      <c r="AA12" s="3">
        <v>2753</v>
      </c>
      <c r="AB12" s="3">
        <v>3433</v>
      </c>
      <c r="AC12" s="3">
        <v>2648</v>
      </c>
      <c r="AD12" s="3">
        <v>2291</v>
      </c>
      <c r="AE12" s="3">
        <v>2396</v>
      </c>
      <c r="AF12" s="3">
        <v>2352</v>
      </c>
      <c r="AG12" s="3">
        <v>2237</v>
      </c>
      <c r="AH12" s="3">
        <v>2408</v>
      </c>
      <c r="AI12" s="3">
        <v>2115</v>
      </c>
      <c r="AJ12" s="3">
        <v>1265</v>
      </c>
      <c r="AK12" s="3">
        <v>2198</v>
      </c>
      <c r="AL12" s="3">
        <v>1704</v>
      </c>
      <c r="AM12" s="2">
        <v>2271</v>
      </c>
      <c r="AN12" s="2">
        <v>1879</v>
      </c>
      <c r="AO12" s="2">
        <v>2149</v>
      </c>
      <c r="AP12" s="2">
        <v>2136</v>
      </c>
      <c r="AQ12" s="2">
        <v>2345</v>
      </c>
      <c r="AR12" s="2">
        <v>2732</v>
      </c>
      <c r="AS12" s="2">
        <v>2979</v>
      </c>
      <c r="AT12" s="2">
        <v>1890</v>
      </c>
      <c r="AU12" s="2">
        <v>1933</v>
      </c>
      <c r="AV12" s="2">
        <v>1619</v>
      </c>
      <c r="AW12" s="2">
        <v>1616</v>
      </c>
      <c r="AX12" s="2">
        <v>1566</v>
      </c>
      <c r="AY12" s="4">
        <v>3633</v>
      </c>
      <c r="AZ12" s="4">
        <v>1864</v>
      </c>
      <c r="BA12" s="4">
        <v>1966</v>
      </c>
      <c r="BB12" s="4">
        <v>1864</v>
      </c>
      <c r="BC12" s="4">
        <v>1600</v>
      </c>
      <c r="BD12" s="4">
        <v>1789</v>
      </c>
      <c r="BE12" s="4">
        <v>1727</v>
      </c>
      <c r="BF12" s="4">
        <v>1710</v>
      </c>
      <c r="BG12" s="4">
        <v>2081</v>
      </c>
      <c r="BH12" s="4">
        <v>1467</v>
      </c>
      <c r="BI12" s="4">
        <v>1770</v>
      </c>
      <c r="BJ12" s="4">
        <v>1327</v>
      </c>
      <c r="BK12" s="3">
        <v>1631</v>
      </c>
      <c r="BL12" s="3">
        <v>2126</v>
      </c>
      <c r="BM12" s="3">
        <v>2400</v>
      </c>
      <c r="BN12" s="3">
        <v>1453</v>
      </c>
      <c r="BO12" s="3">
        <v>2412</v>
      </c>
      <c r="BP12" s="3">
        <v>1702</v>
      </c>
      <c r="BQ12" s="3">
        <v>1172</v>
      </c>
      <c r="BR12" s="3">
        <v>1418</v>
      </c>
      <c r="BS12" s="3">
        <v>1092</v>
      </c>
      <c r="BT12" s="3">
        <v>1118</v>
      </c>
      <c r="BU12" s="3">
        <v>1825</v>
      </c>
      <c r="BV12" s="3">
        <v>1065</v>
      </c>
      <c r="BW12" s="3">
        <v>1310</v>
      </c>
      <c r="BX12" s="3">
        <v>1638</v>
      </c>
      <c r="BY12" s="3">
        <v>1007</v>
      </c>
      <c r="BZ12" s="3">
        <v>2294</v>
      </c>
      <c r="CA12" s="3">
        <v>3070</v>
      </c>
      <c r="CB12" s="3">
        <v>4784</v>
      </c>
      <c r="CC12" s="3">
        <v>5212</v>
      </c>
      <c r="CD12" s="3">
        <v>2658</v>
      </c>
      <c r="CE12" s="3">
        <v>29583</v>
      </c>
      <c r="CF12" s="3">
        <v>781</v>
      </c>
      <c r="CG12" s="3">
        <v>1294</v>
      </c>
      <c r="CH12" s="3">
        <v>1756</v>
      </c>
      <c r="CI12" s="2">
        <v>1120</v>
      </c>
      <c r="CJ12" s="2">
        <v>1898</v>
      </c>
      <c r="CK12" s="2">
        <v>4347</v>
      </c>
      <c r="CL12" s="2">
        <v>1985</v>
      </c>
      <c r="CM12" s="13">
        <v>2938</v>
      </c>
      <c r="CN12" s="13">
        <v>2610</v>
      </c>
      <c r="CO12" s="13">
        <v>2628</v>
      </c>
      <c r="CP12" s="13">
        <v>2982</v>
      </c>
      <c r="CQ12" s="13">
        <v>3563</v>
      </c>
      <c r="CR12" s="13">
        <v>1136</v>
      </c>
      <c r="CS12" s="13">
        <v>2086</v>
      </c>
      <c r="CT12" s="13">
        <v>1893</v>
      </c>
      <c r="CU12" s="13">
        <v>2738</v>
      </c>
      <c r="CV12" s="13">
        <v>3935</v>
      </c>
      <c r="CW12" s="13">
        <v>3936</v>
      </c>
      <c r="CX12" s="13">
        <v>2172</v>
      </c>
      <c r="CY12" s="13">
        <v>2701</v>
      </c>
      <c r="CZ12" s="13">
        <v>1603</v>
      </c>
      <c r="DA12" s="13">
        <v>1943</v>
      </c>
      <c r="DB12" s="13">
        <v>1663</v>
      </c>
      <c r="DC12" s="13">
        <v>2569</v>
      </c>
      <c r="DD12" s="13">
        <v>2812</v>
      </c>
      <c r="DE12" s="13">
        <v>2433</v>
      </c>
      <c r="DF12" s="13">
        <v>6424</v>
      </c>
      <c r="DG12" s="13">
        <v>5755</v>
      </c>
      <c r="DH12" s="13">
        <v>8151</v>
      </c>
      <c r="DI12" s="13">
        <v>6484</v>
      </c>
      <c r="DJ12" s="13">
        <v>2356</v>
      </c>
      <c r="DK12" s="13">
        <v>4599</v>
      </c>
      <c r="DL12" s="13">
        <v>4212</v>
      </c>
      <c r="DM12" s="13">
        <v>2754</v>
      </c>
      <c r="DN12" s="13">
        <v>792</v>
      </c>
      <c r="DO12" s="13">
        <v>867</v>
      </c>
      <c r="DP12" s="13">
        <v>2649</v>
      </c>
      <c r="DQ12" s="13">
        <v>4281</v>
      </c>
      <c r="DR12" s="13">
        <v>4124</v>
      </c>
      <c r="DS12" s="13">
        <v>3284</v>
      </c>
      <c r="DT12" s="13">
        <v>4749</v>
      </c>
      <c r="DU12" s="13">
        <v>3602</v>
      </c>
      <c r="DV12" s="13">
        <v>4375</v>
      </c>
      <c r="DW12" s="13">
        <v>3577</v>
      </c>
      <c r="DX12" s="13">
        <v>6315</v>
      </c>
      <c r="DY12" s="13">
        <v>3670</v>
      </c>
      <c r="DZ12" s="13">
        <v>3509</v>
      </c>
      <c r="EA12" s="13">
        <v>2416</v>
      </c>
      <c r="EB12" s="13">
        <v>1723</v>
      </c>
      <c r="EC12" s="13">
        <v>1838</v>
      </c>
      <c r="ED12" s="13">
        <v>1240</v>
      </c>
      <c r="EE12" s="13">
        <v>1473</v>
      </c>
      <c r="EF12" s="13">
        <v>1790</v>
      </c>
      <c r="EG12" s="13">
        <v>2490</v>
      </c>
      <c r="EH12" s="13">
        <v>1498</v>
      </c>
      <c r="EI12" s="13">
        <v>2158</v>
      </c>
      <c r="EJ12" s="13">
        <v>2188</v>
      </c>
      <c r="EK12" s="13">
        <v>1315</v>
      </c>
      <c r="EL12" s="13">
        <v>1512</v>
      </c>
      <c r="EM12" s="13">
        <v>1540</v>
      </c>
      <c r="EN12" s="13">
        <v>1746</v>
      </c>
      <c r="EO12" s="13">
        <v>2695</v>
      </c>
      <c r="EP12" s="13">
        <v>1541</v>
      </c>
      <c r="EQ12" s="13">
        <v>1439</v>
      </c>
      <c r="ER12" s="13">
        <v>1333</v>
      </c>
      <c r="ES12" s="13">
        <v>2031</v>
      </c>
      <c r="ET12" s="13">
        <v>1203</v>
      </c>
      <c r="EU12" s="13">
        <v>1437</v>
      </c>
      <c r="EV12" s="13">
        <v>1280</v>
      </c>
      <c r="EW12" s="13">
        <v>974</v>
      </c>
      <c r="EX12" s="13">
        <v>826</v>
      </c>
      <c r="EZ12" s="31"/>
      <c r="FA12" s="31"/>
      <c r="FB12" s="31"/>
      <c r="FC12" s="31"/>
      <c r="FD12" s="31"/>
      <c r="FE12" s="31"/>
      <c r="FF12" s="31"/>
      <c r="FG12" s="31"/>
      <c r="FH12" s="31"/>
    </row>
    <row r="13" spans="1:165" s="14" customFormat="1" ht="17.25">
      <c r="A13" s="2" t="s">
        <v>41</v>
      </c>
      <c r="B13" s="2" t="s">
        <v>8</v>
      </c>
      <c r="C13" s="2">
        <v>2773</v>
      </c>
      <c r="D13" s="2">
        <v>2181</v>
      </c>
      <c r="E13" s="2">
        <v>2738</v>
      </c>
      <c r="F13" s="2">
        <v>3094</v>
      </c>
      <c r="G13" s="2">
        <v>1968</v>
      </c>
      <c r="H13" s="2">
        <v>2145</v>
      </c>
      <c r="I13" s="2">
        <v>3118</v>
      </c>
      <c r="J13" s="2">
        <v>2949</v>
      </c>
      <c r="K13" s="2">
        <v>3324</v>
      </c>
      <c r="L13" s="2">
        <v>1790</v>
      </c>
      <c r="M13" s="2">
        <v>2378</v>
      </c>
      <c r="N13" s="2">
        <v>2870</v>
      </c>
      <c r="O13" s="3">
        <v>3173</v>
      </c>
      <c r="P13" s="3">
        <v>2552</v>
      </c>
      <c r="Q13" s="3">
        <v>2632</v>
      </c>
      <c r="R13" s="3">
        <v>1840</v>
      </c>
      <c r="S13" s="3">
        <v>1975</v>
      </c>
      <c r="T13" s="3">
        <v>4318</v>
      </c>
      <c r="U13" s="3">
        <v>3685</v>
      </c>
      <c r="V13" s="3">
        <v>2813</v>
      </c>
      <c r="W13" s="3">
        <v>3328</v>
      </c>
      <c r="X13" s="3">
        <v>1979</v>
      </c>
      <c r="Y13" s="3">
        <v>2871</v>
      </c>
      <c r="Z13" s="3">
        <v>2888</v>
      </c>
      <c r="AA13" s="3">
        <v>3492</v>
      </c>
      <c r="AB13" s="3">
        <v>2930</v>
      </c>
      <c r="AC13" s="3">
        <v>2947</v>
      </c>
      <c r="AD13" s="3">
        <v>2544</v>
      </c>
      <c r="AE13" s="3">
        <v>2244</v>
      </c>
      <c r="AF13" s="3">
        <v>1950</v>
      </c>
      <c r="AG13" s="3">
        <v>1977</v>
      </c>
      <c r="AH13" s="3">
        <v>1469</v>
      </c>
      <c r="AI13" s="3">
        <v>2242</v>
      </c>
      <c r="AJ13" s="3">
        <v>1749</v>
      </c>
      <c r="AK13" s="3">
        <v>2009</v>
      </c>
      <c r="AL13" s="3">
        <v>1975</v>
      </c>
      <c r="AM13" s="2">
        <v>1690</v>
      </c>
      <c r="AN13" s="2">
        <v>2227</v>
      </c>
      <c r="AO13" s="2">
        <v>2259</v>
      </c>
      <c r="AP13" s="2">
        <v>1809</v>
      </c>
      <c r="AQ13" s="2">
        <v>2179</v>
      </c>
      <c r="AR13" s="2">
        <v>2530</v>
      </c>
      <c r="AS13" s="2">
        <v>2602</v>
      </c>
      <c r="AT13" s="2">
        <v>1549</v>
      </c>
      <c r="AU13" s="2">
        <v>1748</v>
      </c>
      <c r="AV13" s="2">
        <v>10195</v>
      </c>
      <c r="AW13" s="2">
        <v>1371</v>
      </c>
      <c r="AX13" s="2">
        <v>1885</v>
      </c>
      <c r="AY13" s="4">
        <v>3016</v>
      </c>
      <c r="AZ13" s="4">
        <v>1971</v>
      </c>
      <c r="BA13" s="4">
        <v>1558</v>
      </c>
      <c r="BB13" s="4">
        <v>1467</v>
      </c>
      <c r="BC13" s="4">
        <v>1716</v>
      </c>
      <c r="BD13" s="4">
        <v>2333</v>
      </c>
      <c r="BE13" s="4">
        <v>1297</v>
      </c>
      <c r="BF13" s="4">
        <v>1827</v>
      </c>
      <c r="BG13" s="4">
        <v>1451</v>
      </c>
      <c r="BH13" s="4">
        <v>1329</v>
      </c>
      <c r="BI13" s="4">
        <v>1534</v>
      </c>
      <c r="BJ13" s="4">
        <v>1602</v>
      </c>
      <c r="BK13" s="3">
        <v>2292</v>
      </c>
      <c r="BL13" s="3">
        <v>2084</v>
      </c>
      <c r="BM13" s="3">
        <v>2561</v>
      </c>
      <c r="BN13" s="3">
        <v>1748</v>
      </c>
      <c r="BO13" s="3">
        <v>1967</v>
      </c>
      <c r="BP13" s="3">
        <v>1533</v>
      </c>
      <c r="BQ13" s="3">
        <v>1289</v>
      </c>
      <c r="BR13" s="3">
        <v>1827</v>
      </c>
      <c r="BS13" s="3">
        <v>841</v>
      </c>
      <c r="BT13" s="3">
        <v>1001</v>
      </c>
      <c r="BU13" s="3">
        <v>1205</v>
      </c>
      <c r="BV13" s="3">
        <v>1254</v>
      </c>
      <c r="BW13" s="3">
        <v>1231</v>
      </c>
      <c r="BX13" s="3">
        <v>1484</v>
      </c>
      <c r="BY13" s="3">
        <v>850</v>
      </c>
      <c r="BZ13" s="3">
        <v>1318</v>
      </c>
      <c r="CA13" s="3">
        <v>1166</v>
      </c>
      <c r="CB13" s="3">
        <v>1925</v>
      </c>
      <c r="CC13" s="3">
        <v>1500</v>
      </c>
      <c r="CD13" s="3">
        <v>2191</v>
      </c>
      <c r="CE13" s="3">
        <v>17757</v>
      </c>
      <c r="CF13" s="3">
        <v>930</v>
      </c>
      <c r="CG13" s="3">
        <v>1090</v>
      </c>
      <c r="CH13" s="3">
        <v>1362</v>
      </c>
      <c r="CI13" s="2">
        <v>1226</v>
      </c>
      <c r="CJ13" s="2">
        <v>1783</v>
      </c>
      <c r="CK13" s="2">
        <v>4222</v>
      </c>
      <c r="CL13" s="2">
        <v>1622</v>
      </c>
      <c r="CM13" s="13">
        <v>1789</v>
      </c>
      <c r="CN13" s="13">
        <v>2540</v>
      </c>
      <c r="CO13" s="13">
        <v>1505</v>
      </c>
      <c r="CP13" s="13">
        <v>2528</v>
      </c>
      <c r="CQ13" s="13">
        <v>2831</v>
      </c>
      <c r="CR13" s="13">
        <v>1011</v>
      </c>
      <c r="CS13" s="13">
        <v>1173</v>
      </c>
      <c r="CT13" s="13">
        <v>1415</v>
      </c>
      <c r="CU13" s="13">
        <v>1646</v>
      </c>
      <c r="CV13" s="13">
        <v>1986</v>
      </c>
      <c r="CW13" s="13">
        <v>4320</v>
      </c>
      <c r="CX13" s="13">
        <v>2361</v>
      </c>
      <c r="CY13" s="13">
        <v>2089</v>
      </c>
      <c r="CZ13" s="13">
        <v>2347</v>
      </c>
      <c r="DA13" s="13">
        <v>2107</v>
      </c>
      <c r="DB13" s="13">
        <v>1652</v>
      </c>
      <c r="DC13" s="13">
        <v>1821</v>
      </c>
      <c r="DD13" s="13">
        <v>1545</v>
      </c>
      <c r="DE13" s="13">
        <v>2676</v>
      </c>
      <c r="DF13" s="13">
        <v>4532</v>
      </c>
      <c r="DG13" s="13">
        <v>6011</v>
      </c>
      <c r="DH13" s="13">
        <v>8866</v>
      </c>
      <c r="DI13" s="13">
        <v>4984</v>
      </c>
      <c r="DJ13" s="13">
        <v>3866</v>
      </c>
      <c r="DK13" s="13">
        <v>3405</v>
      </c>
      <c r="DL13" s="13">
        <v>3471</v>
      </c>
      <c r="DM13" s="13">
        <v>1989</v>
      </c>
      <c r="DN13" s="13">
        <v>1185</v>
      </c>
      <c r="DO13" s="13">
        <v>802</v>
      </c>
      <c r="DP13" s="13">
        <v>2483</v>
      </c>
      <c r="DQ13" s="13">
        <v>4675</v>
      </c>
      <c r="DR13" s="13">
        <v>3242</v>
      </c>
      <c r="DS13" s="13">
        <v>4141</v>
      </c>
      <c r="DT13" s="13">
        <v>5390</v>
      </c>
      <c r="DU13" s="13">
        <v>3940</v>
      </c>
      <c r="DV13" s="13">
        <v>3388</v>
      </c>
      <c r="DW13" s="13">
        <v>4367</v>
      </c>
      <c r="DX13" s="13">
        <v>7742</v>
      </c>
      <c r="DY13" s="13">
        <v>4973</v>
      </c>
      <c r="DZ13" s="13">
        <v>4494</v>
      </c>
      <c r="EA13" s="13">
        <v>3339</v>
      </c>
      <c r="EB13" s="13">
        <v>2748</v>
      </c>
      <c r="EC13" s="13">
        <v>2408</v>
      </c>
      <c r="ED13" s="13">
        <v>2191</v>
      </c>
      <c r="EE13" s="13">
        <v>2433</v>
      </c>
      <c r="EF13" s="13">
        <v>1866</v>
      </c>
      <c r="EG13" s="13">
        <v>2772</v>
      </c>
      <c r="EH13" s="13">
        <v>3092</v>
      </c>
      <c r="EI13" s="13">
        <v>2833</v>
      </c>
      <c r="EJ13" s="13">
        <v>1980</v>
      </c>
      <c r="EK13" s="13">
        <v>1272</v>
      </c>
      <c r="EL13" s="13">
        <v>1322</v>
      </c>
      <c r="EM13" s="13">
        <v>1215</v>
      </c>
      <c r="EN13" s="13">
        <v>1755</v>
      </c>
      <c r="EO13" s="13">
        <v>3306</v>
      </c>
      <c r="EP13" s="13">
        <v>2745</v>
      </c>
      <c r="EQ13" s="13">
        <v>1120</v>
      </c>
      <c r="ER13" s="13">
        <v>1183</v>
      </c>
      <c r="ES13" s="13">
        <v>1394</v>
      </c>
      <c r="ET13" s="13">
        <v>1099</v>
      </c>
      <c r="EU13" s="13">
        <v>1023</v>
      </c>
      <c r="EV13" s="13">
        <v>1011</v>
      </c>
      <c r="EW13" s="13">
        <v>1251</v>
      </c>
      <c r="EX13" s="13">
        <v>848</v>
      </c>
      <c r="EZ13" s="31"/>
      <c r="FA13" s="31"/>
      <c r="FB13" s="31"/>
      <c r="FC13" s="31"/>
      <c r="FD13" s="31"/>
      <c r="FE13" s="31"/>
      <c r="FF13" s="31"/>
      <c r="FG13" s="31"/>
      <c r="FH13" s="31"/>
    </row>
    <row r="14" spans="1:165" s="14" customFormat="1" ht="17.25">
      <c r="A14" s="2" t="s">
        <v>42</v>
      </c>
      <c r="B14" s="2" t="s">
        <v>9</v>
      </c>
      <c r="C14" s="2">
        <v>8652</v>
      </c>
      <c r="D14" s="2">
        <v>8643</v>
      </c>
      <c r="E14" s="2">
        <v>11228</v>
      </c>
      <c r="F14" s="2">
        <v>11946</v>
      </c>
      <c r="G14" s="2">
        <v>7963</v>
      </c>
      <c r="H14" s="2">
        <v>12929</v>
      </c>
      <c r="I14" s="2">
        <v>11008</v>
      </c>
      <c r="J14" s="2">
        <v>15915</v>
      </c>
      <c r="K14" s="2">
        <v>20302</v>
      </c>
      <c r="L14" s="2">
        <v>9875</v>
      </c>
      <c r="M14" s="2">
        <v>12034</v>
      </c>
      <c r="N14" s="2">
        <v>10426</v>
      </c>
      <c r="O14" s="3">
        <v>9952</v>
      </c>
      <c r="P14" s="3">
        <v>12645</v>
      </c>
      <c r="Q14" s="3">
        <v>12425</v>
      </c>
      <c r="R14" s="3">
        <v>11971</v>
      </c>
      <c r="S14" s="3">
        <v>10997</v>
      </c>
      <c r="T14" s="3">
        <v>15393</v>
      </c>
      <c r="U14" s="3">
        <v>18524</v>
      </c>
      <c r="V14" s="3">
        <v>11625</v>
      </c>
      <c r="W14" s="3">
        <v>13752</v>
      </c>
      <c r="X14" s="3">
        <v>11311</v>
      </c>
      <c r="Y14" s="3">
        <v>12507</v>
      </c>
      <c r="Z14" s="3">
        <v>14791</v>
      </c>
      <c r="AA14" s="3">
        <v>12231</v>
      </c>
      <c r="AB14" s="3">
        <v>14439</v>
      </c>
      <c r="AC14" s="3">
        <v>15348</v>
      </c>
      <c r="AD14" s="3">
        <v>16189</v>
      </c>
      <c r="AE14" s="3">
        <v>13624</v>
      </c>
      <c r="AF14" s="3">
        <v>11906</v>
      </c>
      <c r="AG14" s="3">
        <v>13079</v>
      </c>
      <c r="AH14" s="3">
        <v>12017</v>
      </c>
      <c r="AI14" s="3">
        <v>10879</v>
      </c>
      <c r="AJ14" s="3">
        <v>7191</v>
      </c>
      <c r="AK14" s="3">
        <v>10457</v>
      </c>
      <c r="AL14" s="3">
        <v>9943</v>
      </c>
      <c r="AM14" s="2">
        <v>10771</v>
      </c>
      <c r="AN14" s="2">
        <v>11249</v>
      </c>
      <c r="AO14" s="2">
        <v>12981</v>
      </c>
      <c r="AP14" s="2">
        <v>12389</v>
      </c>
      <c r="AQ14" s="2">
        <v>14846</v>
      </c>
      <c r="AR14" s="2">
        <v>14340</v>
      </c>
      <c r="AS14" s="2">
        <v>11924</v>
      </c>
      <c r="AT14" s="2">
        <v>10877</v>
      </c>
      <c r="AU14" s="2">
        <v>9797</v>
      </c>
      <c r="AV14" s="2">
        <v>7790</v>
      </c>
      <c r="AW14" s="2">
        <v>9745</v>
      </c>
      <c r="AX14" s="2">
        <v>7992</v>
      </c>
      <c r="AY14" s="4">
        <v>13238</v>
      </c>
      <c r="AZ14" s="4">
        <v>10038</v>
      </c>
      <c r="BA14" s="4">
        <v>8971</v>
      </c>
      <c r="BB14" s="4">
        <v>9704</v>
      </c>
      <c r="BC14" s="4">
        <v>11815</v>
      </c>
      <c r="BD14" s="4">
        <v>8695</v>
      </c>
      <c r="BE14" s="4">
        <v>7167</v>
      </c>
      <c r="BF14" s="4">
        <v>8614</v>
      </c>
      <c r="BG14" s="4">
        <v>10429</v>
      </c>
      <c r="BH14" s="4">
        <v>5909</v>
      </c>
      <c r="BI14" s="4">
        <v>7590</v>
      </c>
      <c r="BJ14" s="4">
        <v>7549</v>
      </c>
      <c r="BK14" s="3">
        <v>9792</v>
      </c>
      <c r="BL14" s="3">
        <v>12059</v>
      </c>
      <c r="BM14" s="3">
        <v>14964</v>
      </c>
      <c r="BN14" s="3">
        <v>13503</v>
      </c>
      <c r="BO14" s="3">
        <v>10983</v>
      </c>
      <c r="BP14" s="3">
        <v>9491</v>
      </c>
      <c r="BQ14" s="3">
        <v>8409</v>
      </c>
      <c r="BR14" s="3">
        <v>10288</v>
      </c>
      <c r="BS14" s="3">
        <v>6027</v>
      </c>
      <c r="BT14" s="3">
        <v>6958</v>
      </c>
      <c r="BU14" s="3">
        <v>7551</v>
      </c>
      <c r="BV14" s="3">
        <v>7567</v>
      </c>
      <c r="BW14" s="3">
        <v>8139</v>
      </c>
      <c r="BX14" s="3">
        <v>7782</v>
      </c>
      <c r="BY14" s="3">
        <v>7366</v>
      </c>
      <c r="BZ14" s="3">
        <v>7524</v>
      </c>
      <c r="CA14" s="3">
        <v>9118</v>
      </c>
      <c r="CB14" s="3">
        <v>11901</v>
      </c>
      <c r="CC14" s="3">
        <v>12776</v>
      </c>
      <c r="CD14" s="3">
        <v>14408</v>
      </c>
      <c r="CE14" s="3">
        <v>255813</v>
      </c>
      <c r="CF14" s="3">
        <v>7047</v>
      </c>
      <c r="CG14" s="3">
        <v>15486</v>
      </c>
      <c r="CH14" s="3">
        <v>14509</v>
      </c>
      <c r="CI14" s="2">
        <v>13565</v>
      </c>
      <c r="CJ14" s="2">
        <v>16976</v>
      </c>
      <c r="CK14" s="2">
        <v>35956</v>
      </c>
      <c r="CL14" s="2">
        <v>11840</v>
      </c>
      <c r="CM14" s="13">
        <v>13971</v>
      </c>
      <c r="CN14" s="13">
        <v>17890</v>
      </c>
      <c r="CO14" s="13">
        <v>16607</v>
      </c>
      <c r="CP14" s="13">
        <v>28381</v>
      </c>
      <c r="CQ14" s="13">
        <v>76308</v>
      </c>
      <c r="CR14" s="13">
        <v>11883</v>
      </c>
      <c r="CS14" s="13">
        <v>18084</v>
      </c>
      <c r="CT14" s="13">
        <v>12968</v>
      </c>
      <c r="CU14" s="13">
        <v>15365</v>
      </c>
      <c r="CV14" s="13">
        <v>17740</v>
      </c>
      <c r="CW14" s="13">
        <v>25270</v>
      </c>
      <c r="CX14" s="13">
        <v>13458</v>
      </c>
      <c r="CY14" s="13">
        <v>20209</v>
      </c>
      <c r="CZ14" s="13">
        <v>18497</v>
      </c>
      <c r="DA14" s="13">
        <v>15075</v>
      </c>
      <c r="DB14" s="13">
        <v>15919</v>
      </c>
      <c r="DC14" s="13">
        <v>14703</v>
      </c>
      <c r="DD14" s="13">
        <v>10236</v>
      </c>
      <c r="DE14" s="13">
        <v>15337</v>
      </c>
      <c r="DF14" s="13">
        <v>42013</v>
      </c>
      <c r="DG14" s="13">
        <v>37258</v>
      </c>
      <c r="DH14" s="13">
        <v>50461</v>
      </c>
      <c r="DI14" s="13">
        <v>34819</v>
      </c>
      <c r="DJ14" s="13">
        <v>11478</v>
      </c>
      <c r="DK14" s="13">
        <v>26490</v>
      </c>
      <c r="DL14" s="13">
        <v>28708</v>
      </c>
      <c r="DM14" s="13">
        <v>9465</v>
      </c>
      <c r="DN14" s="13">
        <v>6589</v>
      </c>
      <c r="DO14" s="13">
        <v>6219</v>
      </c>
      <c r="DP14" s="13">
        <v>15676</v>
      </c>
      <c r="DQ14" s="13">
        <v>28251</v>
      </c>
      <c r="DR14" s="13">
        <v>27494</v>
      </c>
      <c r="DS14" s="13">
        <v>30227</v>
      </c>
      <c r="DT14" s="13">
        <v>34373</v>
      </c>
      <c r="DU14" s="13">
        <v>33238</v>
      </c>
      <c r="DV14" s="13">
        <v>29200</v>
      </c>
      <c r="DW14" s="13">
        <v>31377</v>
      </c>
      <c r="DX14" s="13">
        <v>40185</v>
      </c>
      <c r="DY14" s="13">
        <v>36608</v>
      </c>
      <c r="DZ14" s="13">
        <v>27215</v>
      </c>
      <c r="EA14" s="13">
        <v>21217</v>
      </c>
      <c r="EB14" s="13">
        <v>15374</v>
      </c>
      <c r="EC14" s="13">
        <v>12191</v>
      </c>
      <c r="ED14" s="13">
        <f>104+15110</f>
        <v>15214</v>
      </c>
      <c r="EE14" s="30">
        <v>16643</v>
      </c>
      <c r="EF14" s="13">
        <v>15371</v>
      </c>
      <c r="EG14" s="13">
        <v>15822</v>
      </c>
      <c r="EH14" s="13">
        <v>13573</v>
      </c>
      <c r="EI14" s="13">
        <v>15375</v>
      </c>
      <c r="EJ14" s="13">
        <f>215+14532</f>
        <v>14747</v>
      </c>
      <c r="EK14" s="13">
        <f>63+14328</f>
        <v>14391</v>
      </c>
      <c r="EL14" s="13">
        <f>107+11811</f>
        <v>11918</v>
      </c>
      <c r="EM14" s="13">
        <f>90+8316</f>
        <v>8406</v>
      </c>
      <c r="EN14" s="13">
        <f>77+11915</f>
        <v>11992</v>
      </c>
      <c r="EO14" s="13">
        <f>43+13872</f>
        <v>13915</v>
      </c>
      <c r="EP14" s="13">
        <f>79+14888</f>
        <v>14967</v>
      </c>
      <c r="EQ14" s="13">
        <v>13073</v>
      </c>
      <c r="ER14" s="13">
        <v>12942</v>
      </c>
      <c r="ES14" s="13">
        <f>107+14232</f>
        <v>14339</v>
      </c>
      <c r="ET14" s="13">
        <f>34+12061</f>
        <v>12095</v>
      </c>
      <c r="EU14" s="13">
        <f>32+12168</f>
        <v>12200</v>
      </c>
      <c r="EV14" s="13">
        <f>60+10169</f>
        <v>10229</v>
      </c>
      <c r="EW14" s="13">
        <v>8832</v>
      </c>
      <c r="EX14" s="13">
        <v>7797</v>
      </c>
      <c r="EZ14" s="31"/>
      <c r="FA14" s="31"/>
      <c r="FB14" s="31"/>
      <c r="FC14" s="31"/>
      <c r="FD14" s="31"/>
      <c r="FE14" s="31"/>
      <c r="FF14" s="31"/>
      <c r="FG14" s="31"/>
      <c r="FH14" s="31"/>
    </row>
    <row r="15" spans="1:165" s="14" customFormat="1" ht="17.25">
      <c r="A15" s="2" t="s">
        <v>43</v>
      </c>
      <c r="B15" s="2" t="s">
        <v>10</v>
      </c>
      <c r="C15" s="2">
        <v>8</v>
      </c>
      <c r="D15" s="2">
        <v>17</v>
      </c>
      <c r="E15" s="2">
        <v>26</v>
      </c>
      <c r="F15" s="2">
        <v>90</v>
      </c>
      <c r="G15" s="2">
        <v>0</v>
      </c>
      <c r="H15" s="2">
        <v>15</v>
      </c>
      <c r="I15" s="2">
        <v>11</v>
      </c>
      <c r="J15" s="2">
        <v>2</v>
      </c>
      <c r="K15" s="2">
        <v>39</v>
      </c>
      <c r="L15" s="2">
        <v>20</v>
      </c>
      <c r="M15" s="2">
        <v>38</v>
      </c>
      <c r="N15" s="2">
        <v>28</v>
      </c>
      <c r="O15" s="3">
        <v>36</v>
      </c>
      <c r="P15" s="3">
        <v>14</v>
      </c>
      <c r="Q15" s="3">
        <v>47</v>
      </c>
      <c r="R15" s="3">
        <v>29</v>
      </c>
      <c r="S15" s="3">
        <v>14</v>
      </c>
      <c r="T15" s="3">
        <v>34</v>
      </c>
      <c r="U15" s="3">
        <v>33</v>
      </c>
      <c r="V15" s="3">
        <v>11</v>
      </c>
      <c r="W15" s="3">
        <v>30</v>
      </c>
      <c r="X15" s="3">
        <v>10</v>
      </c>
      <c r="Y15" s="3">
        <v>45</v>
      </c>
      <c r="Z15" s="3">
        <v>62</v>
      </c>
      <c r="AA15" s="3">
        <v>18</v>
      </c>
      <c r="AB15" s="3">
        <v>26</v>
      </c>
      <c r="AC15" s="3">
        <v>40</v>
      </c>
      <c r="AD15" s="3">
        <v>16</v>
      </c>
      <c r="AE15" s="3">
        <v>21</v>
      </c>
      <c r="AF15" s="3">
        <v>98</v>
      </c>
      <c r="AG15" s="3">
        <v>5</v>
      </c>
      <c r="AH15" s="3">
        <v>14</v>
      </c>
      <c r="AI15" s="3">
        <v>21</v>
      </c>
      <c r="AJ15" s="3">
        <v>0</v>
      </c>
      <c r="AK15" s="3">
        <v>23</v>
      </c>
      <c r="AL15" s="3">
        <v>11</v>
      </c>
      <c r="AM15" s="2">
        <v>17</v>
      </c>
      <c r="AN15" s="2">
        <v>2</v>
      </c>
      <c r="AO15" s="2">
        <v>68</v>
      </c>
      <c r="AP15" s="2">
        <v>35</v>
      </c>
      <c r="AQ15" s="2">
        <v>7</v>
      </c>
      <c r="AR15" s="2">
        <v>10</v>
      </c>
      <c r="AS15" s="2">
        <v>16</v>
      </c>
      <c r="AT15" s="2">
        <v>3</v>
      </c>
      <c r="AU15" s="2">
        <v>1</v>
      </c>
      <c r="AV15" s="2">
        <v>60</v>
      </c>
      <c r="AW15" s="2">
        <v>2</v>
      </c>
      <c r="AX15" s="2">
        <v>0</v>
      </c>
      <c r="AY15" s="4">
        <v>79</v>
      </c>
      <c r="AZ15" s="4">
        <v>188</v>
      </c>
      <c r="BA15" s="4">
        <v>219</v>
      </c>
      <c r="BB15" s="4">
        <v>93</v>
      </c>
      <c r="BC15" s="4">
        <v>79</v>
      </c>
      <c r="BD15" s="4">
        <v>21</v>
      </c>
      <c r="BE15" s="4">
        <v>1</v>
      </c>
      <c r="BF15" s="4">
        <v>11</v>
      </c>
      <c r="BG15" s="4">
        <v>24</v>
      </c>
      <c r="BH15" s="4">
        <v>29</v>
      </c>
      <c r="BI15" s="4">
        <v>0</v>
      </c>
      <c r="BJ15" s="4">
        <v>8</v>
      </c>
      <c r="BK15" s="3">
        <v>25</v>
      </c>
      <c r="BL15" s="3">
        <v>257</v>
      </c>
      <c r="BM15" s="3">
        <v>487</v>
      </c>
      <c r="BN15" s="3">
        <v>40</v>
      </c>
      <c r="BO15" s="3">
        <v>81</v>
      </c>
      <c r="BP15" s="3">
        <v>34</v>
      </c>
      <c r="BQ15" s="3">
        <v>3</v>
      </c>
      <c r="BR15" s="3">
        <v>50</v>
      </c>
      <c r="BS15" s="3">
        <v>10</v>
      </c>
      <c r="BT15" s="3">
        <v>0</v>
      </c>
      <c r="BU15" s="3">
        <v>0</v>
      </c>
      <c r="BV15" s="3">
        <v>13</v>
      </c>
      <c r="BW15" s="3">
        <v>1</v>
      </c>
      <c r="BX15" s="3">
        <v>2</v>
      </c>
      <c r="BY15" s="3"/>
      <c r="BZ15" s="3">
        <v>1</v>
      </c>
      <c r="CA15" s="3">
        <v>3</v>
      </c>
      <c r="CB15" s="3">
        <v>1</v>
      </c>
      <c r="CC15" s="3">
        <v>2</v>
      </c>
      <c r="CD15" s="3">
        <v>20</v>
      </c>
      <c r="CE15" s="3"/>
      <c r="CF15" s="3"/>
      <c r="CG15" s="3">
        <v>5</v>
      </c>
      <c r="CH15" s="3"/>
      <c r="CI15" s="2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>
        <v>5</v>
      </c>
      <c r="CV15" s="13"/>
      <c r="CW15" s="13"/>
      <c r="CX15" s="13"/>
      <c r="CY15" s="13">
        <v>5</v>
      </c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>
        <v>0</v>
      </c>
      <c r="ER15" s="13"/>
      <c r="ES15" s="13"/>
      <c r="ET15" s="13"/>
      <c r="EU15" s="13"/>
      <c r="EV15" s="13"/>
      <c r="EW15" s="13"/>
      <c r="EX15" s="13"/>
      <c r="EZ15" s="31"/>
      <c r="FA15" s="31"/>
      <c r="FB15" s="31"/>
      <c r="FC15" s="31"/>
      <c r="FD15" s="31"/>
      <c r="FE15" s="31"/>
      <c r="FF15" s="31"/>
      <c r="FG15" s="31"/>
      <c r="FH15" s="31"/>
    </row>
    <row r="16" spans="1:165" s="14" customFormat="1" ht="17.25">
      <c r="A16" s="5" t="s">
        <v>13</v>
      </c>
      <c r="B16" s="5" t="s">
        <v>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/>
      <c r="CC16" s="4">
        <v>1</v>
      </c>
      <c r="CD16" s="4"/>
      <c r="CE16" s="4"/>
      <c r="CF16" s="4"/>
      <c r="CG16" s="4"/>
      <c r="CH16" s="4"/>
      <c r="CI16" s="2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Z16" s="31"/>
      <c r="FA16" s="31"/>
      <c r="FB16" s="31"/>
      <c r="FC16" s="31"/>
      <c r="FD16" s="31"/>
      <c r="FE16" s="31"/>
      <c r="FF16" s="31"/>
      <c r="FG16" s="31"/>
      <c r="FH16" s="31"/>
    </row>
    <row r="17" spans="1:84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</row>
    <row r="18" spans="1:84">
      <c r="A18" s="18" t="s">
        <v>15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</row>
    <row r="19" spans="1:84">
      <c r="A19" s="18" t="s">
        <v>16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</row>
    <row r="20" spans="1:84">
      <c r="A20" s="18" t="s">
        <v>17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C20" s="8" t="s">
        <v>44</v>
      </c>
    </row>
    <row r="21" spans="1:84">
      <c r="A21" s="18" t="s">
        <v>18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</row>
  </sheetData>
  <sortState xmlns:xlrd2="http://schemas.microsoft.com/office/spreadsheetml/2017/richdata2" ref="A4:P1037">
    <sortCondition ref="A4"/>
  </sortState>
  <phoneticPr fontId="30" type="noConversion"/>
  <pageMargins left="0.19685039370078741" right="0.11811023622047245" top="0.15748031496062992" bottom="0.35433070866141736" header="0.31496062992125984" footer="0.31496062992125984"/>
  <pageSetup paperSize="9" orientation="landscape" verticalDpi="0" r:id="rId1"/>
  <ignoredErrors>
    <ignoredError sqref="A6:A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BE97-837D-487A-AE28-9FB9156FA022}">
  <dimension ref="A1:N158"/>
  <sheetViews>
    <sheetView topLeftCell="A127" workbookViewId="0">
      <selection activeCell="A147" sqref="A147:A158"/>
    </sheetView>
  </sheetViews>
  <sheetFormatPr defaultRowHeight="15"/>
  <cols>
    <col min="1" max="1" width="12.42578125" customWidth="1"/>
  </cols>
  <sheetData>
    <row r="1" spans="1:14">
      <c r="A1" t="s">
        <v>129</v>
      </c>
    </row>
    <row r="2" spans="1:14" ht="21">
      <c r="A2" s="20" t="s">
        <v>137</v>
      </c>
      <c r="B2" s="20" t="s">
        <v>136</v>
      </c>
      <c r="C2" s="1" t="s">
        <v>128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5" t="s">
        <v>13</v>
      </c>
    </row>
    <row r="3" spans="1:14" ht="17.25">
      <c r="A3" s="21">
        <v>2014</v>
      </c>
      <c r="B3" s="21" t="s">
        <v>138</v>
      </c>
      <c r="C3" s="1">
        <f t="shared" ref="C3:C34" si="0">SUM(D3:N3)</f>
        <v>41215</v>
      </c>
      <c r="D3" s="2">
        <v>612</v>
      </c>
      <c r="E3" s="2">
        <v>1455</v>
      </c>
      <c r="F3" s="2">
        <v>3199</v>
      </c>
      <c r="G3" s="2">
        <v>16324</v>
      </c>
      <c r="H3" s="2">
        <v>5259</v>
      </c>
      <c r="I3" s="2">
        <v>227</v>
      </c>
      <c r="J3" s="2">
        <v>2706</v>
      </c>
      <c r="K3" s="2">
        <v>2773</v>
      </c>
      <c r="L3" s="2">
        <v>8652</v>
      </c>
      <c r="M3" s="2">
        <v>8</v>
      </c>
      <c r="N3" s="5"/>
    </row>
    <row r="4" spans="1:14" ht="17.25">
      <c r="A4" s="21">
        <v>2014</v>
      </c>
      <c r="B4" s="21" t="s">
        <v>139</v>
      </c>
      <c r="C4" s="1">
        <f t="shared" si="0"/>
        <v>40067</v>
      </c>
      <c r="D4" s="2">
        <v>507</v>
      </c>
      <c r="E4" s="2">
        <v>1479</v>
      </c>
      <c r="F4" s="2">
        <v>4005</v>
      </c>
      <c r="G4" s="2">
        <v>14751</v>
      </c>
      <c r="H4" s="2">
        <v>5835</v>
      </c>
      <c r="I4" s="2">
        <v>64</v>
      </c>
      <c r="J4" s="2">
        <v>2585</v>
      </c>
      <c r="K4" s="2">
        <v>2181</v>
      </c>
      <c r="L4" s="2">
        <v>8643</v>
      </c>
      <c r="M4" s="2">
        <v>17</v>
      </c>
      <c r="N4" s="5"/>
    </row>
    <row r="5" spans="1:14" ht="17.25">
      <c r="A5" s="21">
        <v>2014</v>
      </c>
      <c r="B5" s="21" t="s">
        <v>140</v>
      </c>
      <c r="C5" s="1">
        <f t="shared" si="0"/>
        <v>36104</v>
      </c>
      <c r="D5" s="2">
        <v>699</v>
      </c>
      <c r="E5" s="2">
        <v>1905</v>
      </c>
      <c r="F5" s="2">
        <v>4289</v>
      </c>
      <c r="G5" s="2">
        <v>5847</v>
      </c>
      <c r="H5" s="2">
        <v>7017</v>
      </c>
      <c r="I5" s="2">
        <v>110</v>
      </c>
      <c r="J5" s="2">
        <v>2245</v>
      </c>
      <c r="K5" s="2">
        <v>2738</v>
      </c>
      <c r="L5" s="2">
        <v>11228</v>
      </c>
      <c r="M5" s="2">
        <v>26</v>
      </c>
      <c r="N5" s="5"/>
    </row>
    <row r="6" spans="1:14" ht="17.25">
      <c r="A6" s="21">
        <v>2014</v>
      </c>
      <c r="B6" s="21" t="s">
        <v>141</v>
      </c>
      <c r="C6" s="1">
        <f t="shared" si="0"/>
        <v>35337</v>
      </c>
      <c r="D6" s="2">
        <v>696</v>
      </c>
      <c r="E6" s="2">
        <v>1935</v>
      </c>
      <c r="F6" s="2">
        <v>3912</v>
      </c>
      <c r="G6" s="2">
        <v>5533</v>
      </c>
      <c r="H6" s="2">
        <v>5767</v>
      </c>
      <c r="I6" s="2">
        <v>92</v>
      </c>
      <c r="J6" s="2">
        <v>2272</v>
      </c>
      <c r="K6" s="2">
        <v>3094</v>
      </c>
      <c r="L6" s="2">
        <v>11946</v>
      </c>
      <c r="M6" s="2">
        <v>90</v>
      </c>
      <c r="N6" s="5"/>
    </row>
    <row r="7" spans="1:14" ht="17.25">
      <c r="A7" s="21">
        <v>2014</v>
      </c>
      <c r="B7" s="21" t="s">
        <v>142</v>
      </c>
      <c r="C7" s="1">
        <f t="shared" si="0"/>
        <v>27408</v>
      </c>
      <c r="D7" s="2">
        <v>575</v>
      </c>
      <c r="E7" s="2">
        <v>1343</v>
      </c>
      <c r="F7" s="2">
        <v>3208</v>
      </c>
      <c r="G7" s="2">
        <v>4431</v>
      </c>
      <c r="H7" s="2">
        <v>5568</v>
      </c>
      <c r="I7" s="2">
        <v>72</v>
      </c>
      <c r="J7" s="2">
        <v>2280</v>
      </c>
      <c r="K7" s="2">
        <v>1968</v>
      </c>
      <c r="L7" s="2">
        <v>7963</v>
      </c>
      <c r="M7" s="2">
        <v>0</v>
      </c>
      <c r="N7" s="5"/>
    </row>
    <row r="8" spans="1:14" ht="17.25">
      <c r="A8" s="21">
        <v>2014</v>
      </c>
      <c r="B8" s="21" t="s">
        <v>143</v>
      </c>
      <c r="C8" s="1">
        <f t="shared" si="0"/>
        <v>40947</v>
      </c>
      <c r="D8" s="2">
        <v>563</v>
      </c>
      <c r="E8" s="2">
        <v>2463</v>
      </c>
      <c r="F8" s="2">
        <v>4746</v>
      </c>
      <c r="G8" s="2">
        <v>7492</v>
      </c>
      <c r="H8" s="2">
        <v>7129</v>
      </c>
      <c r="I8" s="2">
        <v>211</v>
      </c>
      <c r="J8" s="2">
        <v>3254</v>
      </c>
      <c r="K8" s="2">
        <v>2145</v>
      </c>
      <c r="L8" s="2">
        <v>12929</v>
      </c>
      <c r="M8" s="2">
        <v>15</v>
      </c>
      <c r="N8" s="5"/>
    </row>
    <row r="9" spans="1:14" ht="17.25">
      <c r="A9" s="21">
        <v>2014</v>
      </c>
      <c r="B9" s="21" t="s">
        <v>144</v>
      </c>
      <c r="C9" s="1">
        <f t="shared" si="0"/>
        <v>37951</v>
      </c>
      <c r="D9" s="2">
        <v>678</v>
      </c>
      <c r="E9" s="2">
        <v>1654</v>
      </c>
      <c r="F9" s="2">
        <v>4340</v>
      </c>
      <c r="G9" s="2">
        <v>6678</v>
      </c>
      <c r="H9" s="2">
        <v>7329</v>
      </c>
      <c r="I9" s="2">
        <v>75</v>
      </c>
      <c r="J9" s="2">
        <v>3060</v>
      </c>
      <c r="K9" s="2">
        <v>3118</v>
      </c>
      <c r="L9" s="2">
        <v>11008</v>
      </c>
      <c r="M9" s="2">
        <v>11</v>
      </c>
      <c r="N9" s="5"/>
    </row>
    <row r="10" spans="1:14" ht="17.25">
      <c r="A10" s="21">
        <v>2014</v>
      </c>
      <c r="B10" s="21" t="s">
        <v>145</v>
      </c>
      <c r="C10" s="1">
        <f t="shared" si="0"/>
        <v>41154</v>
      </c>
      <c r="D10" s="2">
        <v>563</v>
      </c>
      <c r="E10" s="2">
        <v>1661</v>
      </c>
      <c r="F10" s="2">
        <v>5115</v>
      </c>
      <c r="G10" s="2">
        <v>5769</v>
      </c>
      <c r="H10" s="2">
        <v>6744</v>
      </c>
      <c r="I10" s="2">
        <v>53</v>
      </c>
      <c r="J10" s="2">
        <v>2383</v>
      </c>
      <c r="K10" s="2">
        <v>2949</v>
      </c>
      <c r="L10" s="2">
        <v>15915</v>
      </c>
      <c r="M10" s="2">
        <v>2</v>
      </c>
      <c r="N10" s="5"/>
    </row>
    <row r="11" spans="1:14" ht="17.25">
      <c r="A11" s="21">
        <v>2014</v>
      </c>
      <c r="B11" s="21" t="s">
        <v>146</v>
      </c>
      <c r="C11" s="1">
        <f t="shared" si="0"/>
        <v>51703</v>
      </c>
      <c r="D11" s="2">
        <v>757</v>
      </c>
      <c r="E11" s="2">
        <v>2229</v>
      </c>
      <c r="F11" s="2">
        <v>5561</v>
      </c>
      <c r="G11" s="2">
        <v>8026</v>
      </c>
      <c r="H11" s="2">
        <v>8326</v>
      </c>
      <c r="I11" s="2">
        <v>72</v>
      </c>
      <c r="J11" s="2">
        <v>3067</v>
      </c>
      <c r="K11" s="2">
        <v>3324</v>
      </c>
      <c r="L11" s="2">
        <v>20302</v>
      </c>
      <c r="M11" s="2">
        <v>39</v>
      </c>
      <c r="N11" s="5"/>
    </row>
    <row r="12" spans="1:14" ht="17.25">
      <c r="A12" s="21">
        <v>2014</v>
      </c>
      <c r="B12" s="21" t="s">
        <v>147</v>
      </c>
      <c r="C12" s="1">
        <f t="shared" si="0"/>
        <v>28735</v>
      </c>
      <c r="D12" s="2">
        <v>760</v>
      </c>
      <c r="E12" s="2">
        <v>1211</v>
      </c>
      <c r="F12" s="2">
        <v>3166</v>
      </c>
      <c r="G12" s="2">
        <v>4586</v>
      </c>
      <c r="H12" s="2">
        <v>5371</v>
      </c>
      <c r="I12" s="2">
        <v>94</v>
      </c>
      <c r="J12" s="2">
        <v>1862</v>
      </c>
      <c r="K12" s="2">
        <v>1790</v>
      </c>
      <c r="L12" s="2">
        <v>9875</v>
      </c>
      <c r="M12" s="2">
        <v>20</v>
      </c>
      <c r="N12" s="5"/>
    </row>
    <row r="13" spans="1:14" ht="17.25">
      <c r="A13" s="21">
        <v>2014</v>
      </c>
      <c r="B13" s="21" t="s">
        <v>148</v>
      </c>
      <c r="C13" s="1">
        <f t="shared" si="0"/>
        <v>38934</v>
      </c>
      <c r="D13" s="2">
        <v>738</v>
      </c>
      <c r="E13" s="2">
        <v>2371</v>
      </c>
      <c r="F13" s="2">
        <v>4520</v>
      </c>
      <c r="G13" s="2">
        <v>6252</v>
      </c>
      <c r="H13" s="2">
        <v>7276</v>
      </c>
      <c r="I13" s="2">
        <v>94</v>
      </c>
      <c r="J13" s="2">
        <v>3233</v>
      </c>
      <c r="K13" s="2">
        <v>2378</v>
      </c>
      <c r="L13" s="2">
        <v>12034</v>
      </c>
      <c r="M13" s="2">
        <v>38</v>
      </c>
      <c r="N13" s="5"/>
    </row>
    <row r="14" spans="1:14" ht="17.25">
      <c r="A14" s="21">
        <v>2014</v>
      </c>
      <c r="B14" s="21" t="s">
        <v>149</v>
      </c>
      <c r="C14" s="1">
        <f t="shared" si="0"/>
        <v>33507</v>
      </c>
      <c r="D14" s="2">
        <v>657</v>
      </c>
      <c r="E14" s="2">
        <v>1483</v>
      </c>
      <c r="F14" s="2">
        <v>4083</v>
      </c>
      <c r="G14" s="2">
        <v>5262</v>
      </c>
      <c r="H14" s="2">
        <v>6442</v>
      </c>
      <c r="I14" s="2">
        <v>258</v>
      </c>
      <c r="J14" s="2">
        <v>1998</v>
      </c>
      <c r="K14" s="2">
        <v>2870</v>
      </c>
      <c r="L14" s="2">
        <v>10426</v>
      </c>
      <c r="M14" s="2">
        <v>28</v>
      </c>
      <c r="N14" s="5"/>
    </row>
    <row r="15" spans="1:14" ht="17.25">
      <c r="A15" s="21">
        <v>2015</v>
      </c>
      <c r="B15" s="21" t="s">
        <v>138</v>
      </c>
      <c r="C15" s="1">
        <f t="shared" si="0"/>
        <v>34082</v>
      </c>
      <c r="D15" s="3">
        <v>584</v>
      </c>
      <c r="E15" s="3">
        <v>1602</v>
      </c>
      <c r="F15" s="3">
        <v>4119</v>
      </c>
      <c r="G15" s="3">
        <v>5594</v>
      </c>
      <c r="H15" s="3">
        <v>6839</v>
      </c>
      <c r="I15" s="3">
        <v>94</v>
      </c>
      <c r="J15" s="3">
        <v>2089</v>
      </c>
      <c r="K15" s="3">
        <v>3173</v>
      </c>
      <c r="L15" s="3">
        <v>9952</v>
      </c>
      <c r="M15" s="3">
        <v>36</v>
      </c>
      <c r="N15" s="5"/>
    </row>
    <row r="16" spans="1:14" ht="17.25">
      <c r="A16" s="21">
        <v>2015</v>
      </c>
      <c r="B16" s="21" t="s">
        <v>139</v>
      </c>
      <c r="C16" s="1">
        <f t="shared" si="0"/>
        <v>42530</v>
      </c>
      <c r="D16" s="3">
        <v>883</v>
      </c>
      <c r="E16" s="3">
        <v>2196</v>
      </c>
      <c r="F16" s="3">
        <v>5728</v>
      </c>
      <c r="G16" s="3">
        <v>7111</v>
      </c>
      <c r="H16" s="3">
        <v>7993</v>
      </c>
      <c r="I16" s="3">
        <v>164</v>
      </c>
      <c r="J16" s="3">
        <v>3244</v>
      </c>
      <c r="K16" s="3">
        <v>2552</v>
      </c>
      <c r="L16" s="3">
        <v>12645</v>
      </c>
      <c r="M16" s="3">
        <v>14</v>
      </c>
      <c r="N16" s="5"/>
    </row>
    <row r="17" spans="1:14" ht="17.25">
      <c r="A17" s="21">
        <v>2015</v>
      </c>
      <c r="B17" s="21" t="s">
        <v>140</v>
      </c>
      <c r="C17" s="1">
        <f t="shared" si="0"/>
        <v>38103</v>
      </c>
      <c r="D17" s="3">
        <v>730</v>
      </c>
      <c r="E17" s="3">
        <v>1969</v>
      </c>
      <c r="F17" s="3">
        <v>4248</v>
      </c>
      <c r="G17" s="3">
        <v>6257</v>
      </c>
      <c r="H17" s="3">
        <v>7496</v>
      </c>
      <c r="I17" s="3">
        <v>116</v>
      </c>
      <c r="J17" s="3">
        <v>2183</v>
      </c>
      <c r="K17" s="3">
        <v>2632</v>
      </c>
      <c r="L17" s="3">
        <v>12425</v>
      </c>
      <c r="M17" s="3">
        <v>47</v>
      </c>
      <c r="N17" s="5"/>
    </row>
    <row r="18" spans="1:14" ht="17.25">
      <c r="A18" s="21">
        <v>2015</v>
      </c>
      <c r="B18" s="21" t="s">
        <v>141</v>
      </c>
      <c r="C18" s="1">
        <f t="shared" si="0"/>
        <v>34148</v>
      </c>
      <c r="D18" s="3">
        <v>431</v>
      </c>
      <c r="E18" s="3">
        <v>1628</v>
      </c>
      <c r="F18" s="3">
        <v>3892</v>
      </c>
      <c r="G18" s="3">
        <v>5481</v>
      </c>
      <c r="H18" s="3">
        <v>6482</v>
      </c>
      <c r="I18" s="3">
        <v>217</v>
      </c>
      <c r="J18" s="3">
        <v>2177</v>
      </c>
      <c r="K18" s="3">
        <v>1840</v>
      </c>
      <c r="L18" s="3">
        <v>11971</v>
      </c>
      <c r="M18" s="3">
        <v>29</v>
      </c>
      <c r="N18" s="5"/>
    </row>
    <row r="19" spans="1:14" ht="17.25">
      <c r="A19" s="21">
        <v>2015</v>
      </c>
      <c r="B19" s="21" t="s">
        <v>142</v>
      </c>
      <c r="C19" s="1">
        <f t="shared" si="0"/>
        <v>36593</v>
      </c>
      <c r="D19" s="3">
        <v>685</v>
      </c>
      <c r="E19" s="3">
        <v>1849</v>
      </c>
      <c r="F19" s="3">
        <v>4447</v>
      </c>
      <c r="G19" s="3">
        <v>6479</v>
      </c>
      <c r="H19" s="3">
        <v>7830</v>
      </c>
      <c r="I19" s="3">
        <v>105</v>
      </c>
      <c r="J19" s="3">
        <v>2212</v>
      </c>
      <c r="K19" s="3">
        <v>1975</v>
      </c>
      <c r="L19" s="3">
        <v>10997</v>
      </c>
      <c r="M19" s="3">
        <v>14</v>
      </c>
      <c r="N19" s="5"/>
    </row>
    <row r="20" spans="1:14" ht="17.25">
      <c r="A20" s="21">
        <v>2015</v>
      </c>
      <c r="B20" s="21" t="s">
        <v>143</v>
      </c>
      <c r="C20" s="1">
        <f t="shared" si="0"/>
        <v>51314</v>
      </c>
      <c r="D20" s="3">
        <v>1195</v>
      </c>
      <c r="E20" s="3">
        <v>2841</v>
      </c>
      <c r="F20" s="3">
        <v>6078</v>
      </c>
      <c r="G20" s="3">
        <v>8254</v>
      </c>
      <c r="H20" s="3">
        <v>9496</v>
      </c>
      <c r="I20" s="3">
        <v>75</v>
      </c>
      <c r="J20" s="3">
        <v>3630</v>
      </c>
      <c r="K20" s="3">
        <v>4318</v>
      </c>
      <c r="L20" s="3">
        <v>15393</v>
      </c>
      <c r="M20" s="3">
        <v>34</v>
      </c>
      <c r="N20" s="5"/>
    </row>
    <row r="21" spans="1:14" ht="17.25">
      <c r="A21" s="21">
        <v>2015</v>
      </c>
      <c r="B21" s="21" t="s">
        <v>144</v>
      </c>
      <c r="C21" s="1">
        <f t="shared" si="0"/>
        <v>49793</v>
      </c>
      <c r="D21" s="3">
        <v>902</v>
      </c>
      <c r="E21" s="3">
        <v>2546</v>
      </c>
      <c r="F21" s="3">
        <v>5479</v>
      </c>
      <c r="G21" s="3">
        <v>7250</v>
      </c>
      <c r="H21" s="3">
        <v>8106</v>
      </c>
      <c r="I21" s="3">
        <v>94</v>
      </c>
      <c r="J21" s="3">
        <v>3174</v>
      </c>
      <c r="K21" s="3">
        <v>3685</v>
      </c>
      <c r="L21" s="3">
        <v>18524</v>
      </c>
      <c r="M21" s="3">
        <v>33</v>
      </c>
      <c r="N21" s="5"/>
    </row>
    <row r="22" spans="1:14" ht="17.25">
      <c r="A22" s="21">
        <v>2015</v>
      </c>
      <c r="B22" s="21" t="s">
        <v>145</v>
      </c>
      <c r="C22" s="1">
        <f t="shared" si="0"/>
        <v>36626</v>
      </c>
      <c r="D22" s="3">
        <v>620</v>
      </c>
      <c r="E22" s="3">
        <v>1884</v>
      </c>
      <c r="F22" s="3">
        <v>4165</v>
      </c>
      <c r="G22" s="3">
        <v>6170</v>
      </c>
      <c r="H22" s="3">
        <v>6684</v>
      </c>
      <c r="I22" s="3">
        <v>39</v>
      </c>
      <c r="J22" s="3">
        <v>2615</v>
      </c>
      <c r="K22" s="3">
        <v>2813</v>
      </c>
      <c r="L22" s="3">
        <v>11625</v>
      </c>
      <c r="M22" s="3">
        <v>11</v>
      </c>
      <c r="N22" s="5"/>
    </row>
    <row r="23" spans="1:14" ht="17.25">
      <c r="A23" s="21">
        <v>2015</v>
      </c>
      <c r="B23" s="21" t="s">
        <v>146</v>
      </c>
      <c r="C23" s="1">
        <f t="shared" si="0"/>
        <v>38354</v>
      </c>
      <c r="D23" s="3">
        <v>615</v>
      </c>
      <c r="E23" s="3">
        <v>1793</v>
      </c>
      <c r="F23" s="3">
        <v>3886</v>
      </c>
      <c r="G23" s="3">
        <v>5559</v>
      </c>
      <c r="H23" s="3">
        <v>7029</v>
      </c>
      <c r="I23" s="3">
        <v>99</v>
      </c>
      <c r="J23" s="3">
        <v>2263</v>
      </c>
      <c r="K23" s="3">
        <v>3328</v>
      </c>
      <c r="L23" s="3">
        <v>13752</v>
      </c>
      <c r="M23" s="3">
        <v>30</v>
      </c>
      <c r="N23" s="5"/>
    </row>
    <row r="24" spans="1:14" ht="17.25">
      <c r="A24" s="21">
        <v>2015</v>
      </c>
      <c r="B24" s="21" t="s">
        <v>147</v>
      </c>
      <c r="C24" s="1">
        <f t="shared" si="0"/>
        <v>31654</v>
      </c>
      <c r="D24" s="3">
        <v>854</v>
      </c>
      <c r="E24" s="3">
        <v>1476</v>
      </c>
      <c r="F24" s="3">
        <v>3480</v>
      </c>
      <c r="G24" s="3">
        <v>4739</v>
      </c>
      <c r="H24" s="3">
        <v>5655</v>
      </c>
      <c r="I24" s="3">
        <v>92</v>
      </c>
      <c r="J24" s="3">
        <v>2058</v>
      </c>
      <c r="K24" s="3">
        <v>1979</v>
      </c>
      <c r="L24" s="3">
        <v>11311</v>
      </c>
      <c r="M24" s="3">
        <v>10</v>
      </c>
      <c r="N24" s="5"/>
    </row>
    <row r="25" spans="1:14" ht="17.25">
      <c r="A25" s="21">
        <v>2015</v>
      </c>
      <c r="B25" s="21" t="s">
        <v>148</v>
      </c>
      <c r="C25" s="1">
        <f t="shared" si="0"/>
        <v>43393</v>
      </c>
      <c r="D25" s="3">
        <v>1127</v>
      </c>
      <c r="E25" s="3">
        <v>2049</v>
      </c>
      <c r="F25" s="3">
        <v>6231</v>
      </c>
      <c r="G25" s="3">
        <v>7553</v>
      </c>
      <c r="H25" s="3">
        <v>7884</v>
      </c>
      <c r="I25" s="3">
        <v>252</v>
      </c>
      <c r="J25" s="3">
        <v>2874</v>
      </c>
      <c r="K25" s="3">
        <v>2871</v>
      </c>
      <c r="L25" s="3">
        <v>12507</v>
      </c>
      <c r="M25" s="3">
        <v>45</v>
      </c>
      <c r="N25" s="5"/>
    </row>
    <row r="26" spans="1:14" ht="17.25">
      <c r="A26" s="21">
        <v>2015</v>
      </c>
      <c r="B26" s="21" t="s">
        <v>149</v>
      </c>
      <c r="C26" s="1">
        <f t="shared" si="0"/>
        <v>40182</v>
      </c>
      <c r="D26" s="3">
        <v>895</v>
      </c>
      <c r="E26" s="3">
        <v>1576</v>
      </c>
      <c r="F26" s="3">
        <v>4632</v>
      </c>
      <c r="G26" s="3">
        <v>5567</v>
      </c>
      <c r="H26" s="3">
        <v>6829</v>
      </c>
      <c r="I26" s="3">
        <v>96</v>
      </c>
      <c r="J26" s="3">
        <v>2846</v>
      </c>
      <c r="K26" s="3">
        <v>2888</v>
      </c>
      <c r="L26" s="3">
        <v>14791</v>
      </c>
      <c r="M26" s="3">
        <v>62</v>
      </c>
      <c r="N26" s="5"/>
    </row>
    <row r="27" spans="1:14" ht="17.25">
      <c r="A27" s="21">
        <v>2016</v>
      </c>
      <c r="B27" s="21" t="s">
        <v>138</v>
      </c>
      <c r="C27" s="1">
        <f t="shared" si="0"/>
        <v>39894</v>
      </c>
      <c r="D27" s="3">
        <v>869</v>
      </c>
      <c r="E27" s="3">
        <v>1703</v>
      </c>
      <c r="F27" s="3">
        <v>4764</v>
      </c>
      <c r="G27" s="3">
        <v>6749</v>
      </c>
      <c r="H27" s="3">
        <v>7187</v>
      </c>
      <c r="I27" s="3">
        <v>128</v>
      </c>
      <c r="J27" s="3">
        <v>2753</v>
      </c>
      <c r="K27" s="3">
        <v>3492</v>
      </c>
      <c r="L27" s="3">
        <v>12231</v>
      </c>
      <c r="M27" s="3">
        <v>18</v>
      </c>
      <c r="N27" s="4">
        <v>0</v>
      </c>
    </row>
    <row r="28" spans="1:14" ht="17.25">
      <c r="A28" s="21">
        <v>2016</v>
      </c>
      <c r="B28" s="21" t="s">
        <v>139</v>
      </c>
      <c r="C28" s="1">
        <f t="shared" si="0"/>
        <v>43019</v>
      </c>
      <c r="D28" s="3">
        <v>963</v>
      </c>
      <c r="E28" s="3">
        <v>2032</v>
      </c>
      <c r="F28" s="3">
        <v>4661</v>
      </c>
      <c r="G28" s="3">
        <v>6935</v>
      </c>
      <c r="H28" s="3">
        <v>7425</v>
      </c>
      <c r="I28" s="3">
        <v>175</v>
      </c>
      <c r="J28" s="3">
        <v>3433</v>
      </c>
      <c r="K28" s="3">
        <v>2930</v>
      </c>
      <c r="L28" s="3">
        <v>14439</v>
      </c>
      <c r="M28" s="3">
        <v>26</v>
      </c>
      <c r="N28" s="4">
        <v>0</v>
      </c>
    </row>
    <row r="29" spans="1:14" ht="17.25">
      <c r="A29" s="21">
        <v>2016</v>
      </c>
      <c r="B29" s="21" t="s">
        <v>140</v>
      </c>
      <c r="C29" s="1">
        <f t="shared" si="0"/>
        <v>41588</v>
      </c>
      <c r="D29" s="3">
        <v>893</v>
      </c>
      <c r="E29" s="3">
        <v>1609</v>
      </c>
      <c r="F29" s="3">
        <v>4719</v>
      </c>
      <c r="G29" s="3">
        <v>6170</v>
      </c>
      <c r="H29" s="3">
        <v>7142</v>
      </c>
      <c r="I29" s="3">
        <v>72</v>
      </c>
      <c r="J29" s="3">
        <v>2648</v>
      </c>
      <c r="K29" s="3">
        <v>2947</v>
      </c>
      <c r="L29" s="3">
        <v>15348</v>
      </c>
      <c r="M29" s="3">
        <v>40</v>
      </c>
      <c r="N29" s="4">
        <v>0</v>
      </c>
    </row>
    <row r="30" spans="1:14" ht="17.25">
      <c r="A30" s="21">
        <v>2016</v>
      </c>
      <c r="B30" s="21" t="s">
        <v>141</v>
      </c>
      <c r="C30" s="1">
        <f t="shared" si="0"/>
        <v>41117</v>
      </c>
      <c r="D30" s="3">
        <v>769</v>
      </c>
      <c r="E30" s="3">
        <v>2137</v>
      </c>
      <c r="F30" s="3">
        <v>4010</v>
      </c>
      <c r="G30" s="3">
        <v>5833</v>
      </c>
      <c r="H30" s="3">
        <v>7244</v>
      </c>
      <c r="I30" s="3">
        <v>84</v>
      </c>
      <c r="J30" s="3">
        <v>2291</v>
      </c>
      <c r="K30" s="3">
        <v>2544</v>
      </c>
      <c r="L30" s="3">
        <v>16189</v>
      </c>
      <c r="M30" s="3">
        <v>16</v>
      </c>
      <c r="N30" s="4">
        <v>0</v>
      </c>
    </row>
    <row r="31" spans="1:14" ht="17.25">
      <c r="A31" s="21">
        <v>2016</v>
      </c>
      <c r="B31" s="21" t="s">
        <v>142</v>
      </c>
      <c r="C31" s="1">
        <f t="shared" si="0"/>
        <v>38806</v>
      </c>
      <c r="D31" s="3">
        <v>953</v>
      </c>
      <c r="E31" s="3">
        <v>1617</v>
      </c>
      <c r="F31" s="3">
        <v>4723</v>
      </c>
      <c r="G31" s="3">
        <v>5780</v>
      </c>
      <c r="H31" s="3">
        <v>7293</v>
      </c>
      <c r="I31" s="3">
        <v>155</v>
      </c>
      <c r="J31" s="3">
        <v>2396</v>
      </c>
      <c r="K31" s="3">
        <v>2244</v>
      </c>
      <c r="L31" s="3">
        <v>13624</v>
      </c>
      <c r="M31" s="3">
        <v>21</v>
      </c>
      <c r="N31" s="4">
        <v>0</v>
      </c>
    </row>
    <row r="32" spans="1:14" ht="17.25">
      <c r="A32" s="21">
        <v>2016</v>
      </c>
      <c r="B32" s="21" t="s">
        <v>143</v>
      </c>
      <c r="C32" s="1">
        <f t="shared" si="0"/>
        <v>36788</v>
      </c>
      <c r="D32" s="3">
        <v>1072</v>
      </c>
      <c r="E32" s="3">
        <v>1975</v>
      </c>
      <c r="F32" s="3">
        <v>4117</v>
      </c>
      <c r="G32" s="3">
        <v>5685</v>
      </c>
      <c r="H32" s="3">
        <v>7519</v>
      </c>
      <c r="I32" s="3">
        <v>114</v>
      </c>
      <c r="J32" s="3">
        <v>2352</v>
      </c>
      <c r="K32" s="3">
        <v>1950</v>
      </c>
      <c r="L32" s="3">
        <v>11906</v>
      </c>
      <c r="M32" s="3">
        <v>98</v>
      </c>
      <c r="N32" s="4">
        <v>0</v>
      </c>
    </row>
    <row r="33" spans="1:14" ht="17.25">
      <c r="A33" s="21">
        <v>2016</v>
      </c>
      <c r="B33" s="21" t="s">
        <v>144</v>
      </c>
      <c r="C33" s="1">
        <f t="shared" si="0"/>
        <v>33104</v>
      </c>
      <c r="D33" s="3">
        <v>681</v>
      </c>
      <c r="E33" s="3">
        <v>1496</v>
      </c>
      <c r="F33" s="3">
        <v>3938</v>
      </c>
      <c r="G33" s="3">
        <v>4232</v>
      </c>
      <c r="H33" s="3">
        <v>5397</v>
      </c>
      <c r="I33" s="3">
        <v>62</v>
      </c>
      <c r="J33" s="3">
        <v>2237</v>
      </c>
      <c r="K33" s="3">
        <v>1977</v>
      </c>
      <c r="L33" s="3">
        <v>13079</v>
      </c>
      <c r="M33" s="3">
        <v>5</v>
      </c>
      <c r="N33" s="4">
        <v>0</v>
      </c>
    </row>
    <row r="34" spans="1:14" ht="17.25">
      <c r="A34" s="21">
        <v>2016</v>
      </c>
      <c r="B34" s="21" t="s">
        <v>145</v>
      </c>
      <c r="C34" s="1">
        <f t="shared" si="0"/>
        <v>32976</v>
      </c>
      <c r="D34" s="3">
        <v>806</v>
      </c>
      <c r="E34" s="3">
        <v>1587</v>
      </c>
      <c r="F34" s="3">
        <v>3851</v>
      </c>
      <c r="G34" s="3">
        <v>4472</v>
      </c>
      <c r="H34" s="3">
        <v>6306</v>
      </c>
      <c r="I34" s="3">
        <v>46</v>
      </c>
      <c r="J34" s="3">
        <v>2408</v>
      </c>
      <c r="K34" s="3">
        <v>1469</v>
      </c>
      <c r="L34" s="3">
        <v>12017</v>
      </c>
      <c r="M34" s="3">
        <v>14</v>
      </c>
      <c r="N34" s="4">
        <v>0</v>
      </c>
    </row>
    <row r="35" spans="1:14" ht="17.25">
      <c r="A35" s="21">
        <v>2016</v>
      </c>
      <c r="B35" s="21" t="s">
        <v>146</v>
      </c>
      <c r="C35" s="1">
        <f t="shared" ref="C35:C66" si="1">SUM(D35:N35)</f>
        <v>30090</v>
      </c>
      <c r="D35" s="3">
        <v>528</v>
      </c>
      <c r="E35" s="3">
        <v>1204</v>
      </c>
      <c r="F35" s="3">
        <v>3738</v>
      </c>
      <c r="G35" s="3">
        <v>4182</v>
      </c>
      <c r="H35" s="3">
        <v>5046</v>
      </c>
      <c r="I35" s="3">
        <v>135</v>
      </c>
      <c r="J35" s="3">
        <v>2115</v>
      </c>
      <c r="K35" s="3">
        <v>2242</v>
      </c>
      <c r="L35" s="3">
        <v>10879</v>
      </c>
      <c r="M35" s="3">
        <v>21</v>
      </c>
      <c r="N35" s="4">
        <v>0</v>
      </c>
    </row>
    <row r="36" spans="1:14" ht="17.25">
      <c r="A36" s="21">
        <v>2016</v>
      </c>
      <c r="B36" s="21" t="s">
        <v>147</v>
      </c>
      <c r="C36" s="1">
        <f t="shared" si="1"/>
        <v>22648</v>
      </c>
      <c r="D36" s="3">
        <v>742</v>
      </c>
      <c r="E36" s="3">
        <v>1165</v>
      </c>
      <c r="F36" s="3">
        <v>2588</v>
      </c>
      <c r="G36" s="3">
        <v>3177</v>
      </c>
      <c r="H36" s="3">
        <v>4744</v>
      </c>
      <c r="I36" s="3">
        <v>27</v>
      </c>
      <c r="J36" s="3">
        <v>1265</v>
      </c>
      <c r="K36" s="3">
        <v>1749</v>
      </c>
      <c r="L36" s="3">
        <v>7191</v>
      </c>
      <c r="M36" s="3">
        <v>0</v>
      </c>
      <c r="N36" s="4">
        <v>0</v>
      </c>
    </row>
    <row r="37" spans="1:14" ht="17.25">
      <c r="A37" s="21">
        <v>2016</v>
      </c>
      <c r="B37" s="21" t="s">
        <v>148</v>
      </c>
      <c r="C37" s="1">
        <f t="shared" si="1"/>
        <v>32728</v>
      </c>
      <c r="D37" s="3">
        <v>805</v>
      </c>
      <c r="E37" s="3">
        <v>1405</v>
      </c>
      <c r="F37" s="3">
        <v>4004</v>
      </c>
      <c r="G37" s="3">
        <v>5374</v>
      </c>
      <c r="H37" s="3">
        <v>6349</v>
      </c>
      <c r="I37" s="3">
        <v>104</v>
      </c>
      <c r="J37" s="3">
        <v>2198</v>
      </c>
      <c r="K37" s="3">
        <v>2009</v>
      </c>
      <c r="L37" s="3">
        <v>10457</v>
      </c>
      <c r="M37" s="3">
        <v>23</v>
      </c>
      <c r="N37" s="4">
        <v>0</v>
      </c>
    </row>
    <row r="38" spans="1:14" ht="17.25">
      <c r="A38" s="21">
        <v>2016</v>
      </c>
      <c r="B38" s="21" t="s">
        <v>149</v>
      </c>
      <c r="C38" s="1">
        <f t="shared" si="1"/>
        <v>28304</v>
      </c>
      <c r="D38" s="3">
        <v>501</v>
      </c>
      <c r="E38" s="3">
        <v>983</v>
      </c>
      <c r="F38" s="3">
        <v>3090</v>
      </c>
      <c r="G38" s="3">
        <v>4553</v>
      </c>
      <c r="H38" s="3">
        <v>5492</v>
      </c>
      <c r="I38" s="3">
        <v>52</v>
      </c>
      <c r="J38" s="3">
        <v>1704</v>
      </c>
      <c r="K38" s="3">
        <v>1975</v>
      </c>
      <c r="L38" s="3">
        <v>9943</v>
      </c>
      <c r="M38" s="3">
        <v>11</v>
      </c>
      <c r="N38" s="4">
        <v>0</v>
      </c>
    </row>
    <row r="39" spans="1:14" ht="17.25">
      <c r="A39" s="21">
        <v>2017</v>
      </c>
      <c r="B39" s="21" t="s">
        <v>138</v>
      </c>
      <c r="C39" s="1">
        <f t="shared" si="1"/>
        <v>30645</v>
      </c>
      <c r="D39" s="2">
        <v>580</v>
      </c>
      <c r="E39" s="2">
        <v>1177</v>
      </c>
      <c r="F39" s="2">
        <v>3421</v>
      </c>
      <c r="G39" s="2">
        <v>4819</v>
      </c>
      <c r="H39" s="2">
        <v>5784</v>
      </c>
      <c r="I39" s="2">
        <v>115</v>
      </c>
      <c r="J39" s="2">
        <v>2271</v>
      </c>
      <c r="K39" s="2">
        <v>1690</v>
      </c>
      <c r="L39" s="2">
        <v>10771</v>
      </c>
      <c r="M39" s="2">
        <v>17</v>
      </c>
      <c r="N39" s="5">
        <v>0</v>
      </c>
    </row>
    <row r="40" spans="1:14" ht="17.25">
      <c r="A40" s="21">
        <v>2017</v>
      </c>
      <c r="B40" s="21" t="s">
        <v>139</v>
      </c>
      <c r="C40" s="1">
        <f t="shared" si="1"/>
        <v>33889</v>
      </c>
      <c r="D40" s="2">
        <v>794</v>
      </c>
      <c r="E40" s="2">
        <v>1393</v>
      </c>
      <c r="F40" s="2">
        <v>4423</v>
      </c>
      <c r="G40" s="2">
        <v>5517</v>
      </c>
      <c r="H40" s="2">
        <v>6333</v>
      </c>
      <c r="I40" s="2">
        <v>72</v>
      </c>
      <c r="J40" s="2">
        <v>1879</v>
      </c>
      <c r="K40" s="2">
        <v>2227</v>
      </c>
      <c r="L40" s="2">
        <v>11249</v>
      </c>
      <c r="M40" s="2">
        <v>2</v>
      </c>
      <c r="N40" s="5">
        <v>0</v>
      </c>
    </row>
    <row r="41" spans="1:14" ht="17.25">
      <c r="A41" s="21">
        <v>2017</v>
      </c>
      <c r="B41" s="21" t="s">
        <v>140</v>
      </c>
      <c r="C41" s="1">
        <f t="shared" si="1"/>
        <v>37491</v>
      </c>
      <c r="D41" s="2">
        <v>577</v>
      </c>
      <c r="E41" s="2">
        <v>1936</v>
      </c>
      <c r="F41" s="2">
        <v>3989</v>
      </c>
      <c r="G41" s="2">
        <v>6654</v>
      </c>
      <c r="H41" s="2">
        <v>6782</v>
      </c>
      <c r="I41" s="2">
        <v>96</v>
      </c>
      <c r="J41" s="2">
        <v>2149</v>
      </c>
      <c r="K41" s="2">
        <v>2259</v>
      </c>
      <c r="L41" s="2">
        <v>12981</v>
      </c>
      <c r="M41" s="2">
        <v>68</v>
      </c>
      <c r="N41" s="5">
        <v>0</v>
      </c>
    </row>
    <row r="42" spans="1:14" ht="17.25">
      <c r="A42" s="21">
        <v>2017</v>
      </c>
      <c r="B42" s="21" t="s">
        <v>141</v>
      </c>
      <c r="C42" s="1">
        <f t="shared" si="1"/>
        <v>34191</v>
      </c>
      <c r="D42" s="2">
        <v>500</v>
      </c>
      <c r="E42" s="2">
        <v>1039</v>
      </c>
      <c r="F42" s="2">
        <v>3123</v>
      </c>
      <c r="G42" s="2">
        <v>8007</v>
      </c>
      <c r="H42" s="2">
        <v>5056</v>
      </c>
      <c r="I42" s="2">
        <v>97</v>
      </c>
      <c r="J42" s="2">
        <v>2136</v>
      </c>
      <c r="K42" s="2">
        <v>1809</v>
      </c>
      <c r="L42" s="2">
        <v>12389</v>
      </c>
      <c r="M42" s="2">
        <v>35</v>
      </c>
      <c r="N42" s="5">
        <v>0</v>
      </c>
    </row>
    <row r="43" spans="1:14" ht="17.25">
      <c r="A43" s="21">
        <v>2017</v>
      </c>
      <c r="B43" s="21" t="s">
        <v>142</v>
      </c>
      <c r="C43" s="1">
        <f t="shared" si="1"/>
        <v>37348</v>
      </c>
      <c r="D43" s="2">
        <v>660</v>
      </c>
      <c r="E43" s="2">
        <v>1460</v>
      </c>
      <c r="F43" s="2">
        <v>3629</v>
      </c>
      <c r="G43" s="2">
        <v>5440</v>
      </c>
      <c r="H43" s="2">
        <v>6697</v>
      </c>
      <c r="I43" s="2">
        <v>85</v>
      </c>
      <c r="J43" s="2">
        <v>2345</v>
      </c>
      <c r="K43" s="2">
        <v>2179</v>
      </c>
      <c r="L43" s="2">
        <v>14846</v>
      </c>
      <c r="M43" s="2">
        <v>7</v>
      </c>
      <c r="N43" s="5">
        <v>0</v>
      </c>
    </row>
    <row r="44" spans="1:14" ht="17.25">
      <c r="A44" s="21">
        <v>2017</v>
      </c>
      <c r="B44" s="21" t="s">
        <v>143</v>
      </c>
      <c r="C44" s="1">
        <f t="shared" si="1"/>
        <v>43991</v>
      </c>
      <c r="D44" s="2">
        <v>894</v>
      </c>
      <c r="E44" s="2">
        <v>1949</v>
      </c>
      <c r="F44" s="2">
        <v>5099</v>
      </c>
      <c r="G44" s="2">
        <v>7228</v>
      </c>
      <c r="H44" s="2">
        <v>9052</v>
      </c>
      <c r="I44" s="2">
        <v>157</v>
      </c>
      <c r="J44" s="2">
        <v>2732</v>
      </c>
      <c r="K44" s="2">
        <v>2530</v>
      </c>
      <c r="L44" s="2">
        <v>14340</v>
      </c>
      <c r="M44" s="2">
        <v>10</v>
      </c>
      <c r="N44" s="5">
        <v>0</v>
      </c>
    </row>
    <row r="45" spans="1:14" ht="17.25">
      <c r="A45" s="21">
        <v>2017</v>
      </c>
      <c r="B45" s="21" t="s">
        <v>144</v>
      </c>
      <c r="C45" s="1">
        <f t="shared" si="1"/>
        <v>37985</v>
      </c>
      <c r="D45" s="2">
        <v>745</v>
      </c>
      <c r="E45" s="2">
        <v>1738</v>
      </c>
      <c r="F45" s="2">
        <v>4511</v>
      </c>
      <c r="G45" s="2">
        <v>5872</v>
      </c>
      <c r="H45" s="2">
        <v>7491</v>
      </c>
      <c r="I45" s="2">
        <v>107</v>
      </c>
      <c r="J45" s="2">
        <v>2979</v>
      </c>
      <c r="K45" s="2">
        <v>2602</v>
      </c>
      <c r="L45" s="2">
        <v>11924</v>
      </c>
      <c r="M45" s="2">
        <v>16</v>
      </c>
      <c r="N45" s="5">
        <v>0</v>
      </c>
    </row>
    <row r="46" spans="1:14" ht="17.25">
      <c r="A46" s="21">
        <v>2017</v>
      </c>
      <c r="B46" s="21" t="s">
        <v>145</v>
      </c>
      <c r="C46" s="1">
        <f t="shared" si="1"/>
        <v>31277</v>
      </c>
      <c r="D46" s="2">
        <v>472</v>
      </c>
      <c r="E46" s="2">
        <v>1556</v>
      </c>
      <c r="F46" s="2">
        <v>3194</v>
      </c>
      <c r="G46" s="2">
        <v>4997</v>
      </c>
      <c r="H46" s="2">
        <v>6644</v>
      </c>
      <c r="I46" s="2">
        <v>95</v>
      </c>
      <c r="J46" s="2">
        <v>1890</v>
      </c>
      <c r="K46" s="2">
        <v>1549</v>
      </c>
      <c r="L46" s="2">
        <v>10877</v>
      </c>
      <c r="M46" s="2">
        <v>3</v>
      </c>
      <c r="N46" s="5">
        <v>0</v>
      </c>
    </row>
    <row r="47" spans="1:14" ht="17.25">
      <c r="A47" s="21">
        <v>2017</v>
      </c>
      <c r="B47" s="21" t="s">
        <v>146</v>
      </c>
      <c r="C47" s="1">
        <f t="shared" si="1"/>
        <v>30356</v>
      </c>
      <c r="D47" s="2">
        <v>778</v>
      </c>
      <c r="E47" s="2">
        <v>1308</v>
      </c>
      <c r="F47" s="2">
        <v>3328</v>
      </c>
      <c r="G47" s="2">
        <v>4818</v>
      </c>
      <c r="H47" s="2">
        <v>6436</v>
      </c>
      <c r="I47" s="2">
        <v>209</v>
      </c>
      <c r="J47" s="2">
        <v>1933</v>
      </c>
      <c r="K47" s="2">
        <v>1748</v>
      </c>
      <c r="L47" s="2">
        <v>9797</v>
      </c>
      <c r="M47" s="2">
        <v>1</v>
      </c>
      <c r="N47" s="5">
        <v>0</v>
      </c>
    </row>
    <row r="48" spans="1:14" ht="17.25">
      <c r="A48" s="21">
        <v>2017</v>
      </c>
      <c r="B48" s="21" t="s">
        <v>147</v>
      </c>
      <c r="C48" s="1">
        <f t="shared" si="1"/>
        <v>31337</v>
      </c>
      <c r="D48" s="2">
        <v>447</v>
      </c>
      <c r="E48" s="2">
        <v>896</v>
      </c>
      <c r="F48" s="2">
        <v>2568</v>
      </c>
      <c r="G48" s="2">
        <v>3463</v>
      </c>
      <c r="H48" s="2">
        <v>4232</v>
      </c>
      <c r="I48" s="2">
        <v>67</v>
      </c>
      <c r="J48" s="2">
        <v>1619</v>
      </c>
      <c r="K48" s="2">
        <v>10195</v>
      </c>
      <c r="L48" s="2">
        <v>7790</v>
      </c>
      <c r="M48" s="2">
        <v>60</v>
      </c>
      <c r="N48" s="5">
        <v>0</v>
      </c>
    </row>
    <row r="49" spans="1:14" ht="17.25">
      <c r="A49" s="21">
        <v>2017</v>
      </c>
      <c r="B49" s="21" t="s">
        <v>148</v>
      </c>
      <c r="C49" s="1">
        <f t="shared" si="1"/>
        <v>27372</v>
      </c>
      <c r="D49" s="2">
        <v>684</v>
      </c>
      <c r="E49" s="2">
        <v>1046</v>
      </c>
      <c r="F49" s="2">
        <v>3013</v>
      </c>
      <c r="G49" s="2">
        <v>4715</v>
      </c>
      <c r="H49" s="2">
        <v>5028</v>
      </c>
      <c r="I49" s="2">
        <v>152</v>
      </c>
      <c r="J49" s="2">
        <v>1616</v>
      </c>
      <c r="K49" s="2">
        <v>1371</v>
      </c>
      <c r="L49" s="2">
        <v>9745</v>
      </c>
      <c r="M49" s="2">
        <v>2</v>
      </c>
      <c r="N49" s="5">
        <v>0</v>
      </c>
    </row>
    <row r="50" spans="1:14" ht="17.25">
      <c r="A50" s="21">
        <v>2017</v>
      </c>
      <c r="B50" s="21" t="s">
        <v>149</v>
      </c>
      <c r="C50" s="1">
        <f t="shared" si="1"/>
        <v>25389</v>
      </c>
      <c r="D50" s="2">
        <v>652</v>
      </c>
      <c r="E50" s="2">
        <v>923</v>
      </c>
      <c r="F50" s="2">
        <v>2846</v>
      </c>
      <c r="G50" s="2">
        <v>4028</v>
      </c>
      <c r="H50" s="2">
        <v>5395</v>
      </c>
      <c r="I50" s="2">
        <v>102</v>
      </c>
      <c r="J50" s="2">
        <v>1566</v>
      </c>
      <c r="K50" s="2">
        <v>1885</v>
      </c>
      <c r="L50" s="2">
        <v>7992</v>
      </c>
      <c r="M50" s="2">
        <v>0</v>
      </c>
      <c r="N50" s="5">
        <v>0</v>
      </c>
    </row>
    <row r="51" spans="1:14" ht="17.25">
      <c r="A51" s="21">
        <v>2018</v>
      </c>
      <c r="B51" s="21" t="s">
        <v>138</v>
      </c>
      <c r="C51" s="1">
        <f t="shared" si="1"/>
        <v>43849</v>
      </c>
      <c r="D51" s="4">
        <v>1028</v>
      </c>
      <c r="E51" s="4">
        <v>1799</v>
      </c>
      <c r="F51" s="4">
        <v>6171</v>
      </c>
      <c r="G51" s="4">
        <v>6688</v>
      </c>
      <c r="H51" s="4">
        <v>8064</v>
      </c>
      <c r="I51" s="4">
        <v>133</v>
      </c>
      <c r="J51" s="4">
        <v>3633</v>
      </c>
      <c r="K51" s="4">
        <v>3016</v>
      </c>
      <c r="L51" s="4">
        <v>13238</v>
      </c>
      <c r="M51" s="4">
        <v>79</v>
      </c>
      <c r="N51" s="4">
        <v>0</v>
      </c>
    </row>
    <row r="52" spans="1:14" ht="17.25">
      <c r="A52" s="21">
        <v>2018</v>
      </c>
      <c r="B52" s="21" t="s">
        <v>139</v>
      </c>
      <c r="C52" s="1">
        <f t="shared" si="1"/>
        <v>31193</v>
      </c>
      <c r="D52" s="4">
        <v>637</v>
      </c>
      <c r="E52" s="4">
        <v>1252</v>
      </c>
      <c r="F52" s="4">
        <v>3850</v>
      </c>
      <c r="G52" s="4">
        <v>4878</v>
      </c>
      <c r="H52" s="4">
        <v>6427</v>
      </c>
      <c r="I52" s="4">
        <v>88</v>
      </c>
      <c r="J52" s="4">
        <v>1864</v>
      </c>
      <c r="K52" s="4">
        <v>1971</v>
      </c>
      <c r="L52" s="4">
        <v>10038</v>
      </c>
      <c r="M52" s="4">
        <v>188</v>
      </c>
      <c r="N52" s="4">
        <v>0</v>
      </c>
    </row>
    <row r="53" spans="1:14" ht="17.25">
      <c r="A53" s="21">
        <v>2018</v>
      </c>
      <c r="B53" s="21" t="s">
        <v>140</v>
      </c>
      <c r="C53" s="1">
        <f t="shared" si="1"/>
        <v>29626</v>
      </c>
      <c r="D53" s="4">
        <v>703</v>
      </c>
      <c r="E53" s="4">
        <v>1491</v>
      </c>
      <c r="F53" s="4">
        <v>3554</v>
      </c>
      <c r="G53" s="4">
        <v>4490</v>
      </c>
      <c r="H53" s="4">
        <v>6591</v>
      </c>
      <c r="I53" s="4">
        <v>83</v>
      </c>
      <c r="J53" s="4">
        <v>1966</v>
      </c>
      <c r="K53" s="4">
        <v>1558</v>
      </c>
      <c r="L53" s="4">
        <v>8971</v>
      </c>
      <c r="M53" s="4">
        <v>219</v>
      </c>
      <c r="N53" s="4">
        <v>0</v>
      </c>
    </row>
    <row r="54" spans="1:14" ht="17.25">
      <c r="A54" s="21">
        <v>2018</v>
      </c>
      <c r="B54" s="21" t="s">
        <v>141</v>
      </c>
      <c r="C54" s="1">
        <f t="shared" si="1"/>
        <v>30096</v>
      </c>
      <c r="D54" s="4">
        <v>595</v>
      </c>
      <c r="E54" s="4">
        <v>978</v>
      </c>
      <c r="F54" s="4">
        <v>3468</v>
      </c>
      <c r="G54" s="4">
        <v>4933</v>
      </c>
      <c r="H54" s="4">
        <v>6886</v>
      </c>
      <c r="I54" s="4">
        <v>108</v>
      </c>
      <c r="J54" s="4">
        <v>1864</v>
      </c>
      <c r="K54" s="4">
        <v>1467</v>
      </c>
      <c r="L54" s="4">
        <v>9704</v>
      </c>
      <c r="M54" s="4">
        <v>93</v>
      </c>
      <c r="N54" s="4">
        <v>0</v>
      </c>
    </row>
    <row r="55" spans="1:14" ht="17.25">
      <c r="A55" s="21">
        <v>2018</v>
      </c>
      <c r="B55" s="21" t="s">
        <v>142</v>
      </c>
      <c r="C55" s="1">
        <f t="shared" si="1"/>
        <v>33428</v>
      </c>
      <c r="D55" s="4">
        <v>779</v>
      </c>
      <c r="E55" s="4">
        <v>1091</v>
      </c>
      <c r="F55" s="4">
        <v>4609</v>
      </c>
      <c r="G55" s="4">
        <v>5599</v>
      </c>
      <c r="H55" s="4">
        <v>6066</v>
      </c>
      <c r="I55" s="4">
        <v>74</v>
      </c>
      <c r="J55" s="4">
        <v>1600</v>
      </c>
      <c r="K55" s="4">
        <v>1716</v>
      </c>
      <c r="L55" s="4">
        <v>11815</v>
      </c>
      <c r="M55" s="4">
        <v>79</v>
      </c>
      <c r="N55" s="4">
        <v>0</v>
      </c>
    </row>
    <row r="56" spans="1:14" ht="17.25">
      <c r="A56" s="21">
        <v>2018</v>
      </c>
      <c r="B56" s="21" t="s">
        <v>143</v>
      </c>
      <c r="C56" s="1">
        <f t="shared" si="1"/>
        <v>27496</v>
      </c>
      <c r="D56" s="4">
        <v>785</v>
      </c>
      <c r="E56" s="4">
        <v>911</v>
      </c>
      <c r="F56" s="4">
        <v>3338</v>
      </c>
      <c r="G56" s="4">
        <v>4735</v>
      </c>
      <c r="H56" s="4">
        <v>4782</v>
      </c>
      <c r="I56" s="4">
        <v>107</v>
      </c>
      <c r="J56" s="4">
        <v>1789</v>
      </c>
      <c r="K56" s="4">
        <v>2333</v>
      </c>
      <c r="L56" s="4">
        <v>8695</v>
      </c>
      <c r="M56" s="4">
        <v>21</v>
      </c>
      <c r="N56" s="4">
        <v>0</v>
      </c>
    </row>
    <row r="57" spans="1:14" ht="17.25">
      <c r="A57" s="21">
        <v>2018</v>
      </c>
      <c r="B57" s="21" t="s">
        <v>144</v>
      </c>
      <c r="C57" s="1">
        <f t="shared" si="1"/>
        <v>23402</v>
      </c>
      <c r="D57" s="4">
        <v>497</v>
      </c>
      <c r="E57" s="4">
        <v>1169</v>
      </c>
      <c r="F57" s="4">
        <v>2768</v>
      </c>
      <c r="G57" s="4">
        <v>3872</v>
      </c>
      <c r="H57" s="4">
        <v>4837</v>
      </c>
      <c r="I57" s="4">
        <v>67</v>
      </c>
      <c r="J57" s="4">
        <v>1727</v>
      </c>
      <c r="K57" s="4">
        <v>1297</v>
      </c>
      <c r="L57" s="4">
        <v>7167</v>
      </c>
      <c r="M57" s="4">
        <v>1</v>
      </c>
      <c r="N57" s="4">
        <v>0</v>
      </c>
    </row>
    <row r="58" spans="1:14" ht="17.25">
      <c r="A58" s="21">
        <v>2018</v>
      </c>
      <c r="B58" s="21" t="s">
        <v>145</v>
      </c>
      <c r="C58" s="1">
        <f t="shared" si="1"/>
        <v>26027</v>
      </c>
      <c r="D58" s="4">
        <v>469</v>
      </c>
      <c r="E58" s="4">
        <v>1304</v>
      </c>
      <c r="F58" s="4">
        <v>3096</v>
      </c>
      <c r="G58" s="4">
        <v>3818</v>
      </c>
      <c r="H58" s="4">
        <v>5071</v>
      </c>
      <c r="I58" s="4">
        <v>107</v>
      </c>
      <c r="J58" s="4">
        <v>1710</v>
      </c>
      <c r="K58" s="4">
        <v>1827</v>
      </c>
      <c r="L58" s="4">
        <v>8614</v>
      </c>
      <c r="M58" s="4">
        <v>11</v>
      </c>
      <c r="N58" s="4">
        <v>0</v>
      </c>
    </row>
    <row r="59" spans="1:14" ht="17.25">
      <c r="A59" s="21">
        <v>2018</v>
      </c>
      <c r="B59" s="21" t="s">
        <v>146</v>
      </c>
      <c r="C59" s="1">
        <f t="shared" si="1"/>
        <v>29033</v>
      </c>
      <c r="D59" s="4">
        <v>671</v>
      </c>
      <c r="E59" s="4">
        <v>1242</v>
      </c>
      <c r="F59" s="4">
        <v>3644</v>
      </c>
      <c r="G59" s="4">
        <v>3723</v>
      </c>
      <c r="H59" s="4">
        <v>5638</v>
      </c>
      <c r="I59" s="4">
        <v>130</v>
      </c>
      <c r="J59" s="4">
        <v>2081</v>
      </c>
      <c r="K59" s="4">
        <v>1451</v>
      </c>
      <c r="L59" s="4">
        <v>10429</v>
      </c>
      <c r="M59" s="4">
        <v>24</v>
      </c>
      <c r="N59" s="4">
        <v>0</v>
      </c>
    </row>
    <row r="60" spans="1:14" ht="17.25">
      <c r="A60" s="21">
        <v>2018</v>
      </c>
      <c r="B60" s="21" t="s">
        <v>147</v>
      </c>
      <c r="C60" s="1">
        <f t="shared" si="1"/>
        <v>20429</v>
      </c>
      <c r="D60" s="4">
        <v>798</v>
      </c>
      <c r="E60" s="4">
        <v>700</v>
      </c>
      <c r="F60" s="4">
        <v>2436</v>
      </c>
      <c r="G60" s="4">
        <v>3817</v>
      </c>
      <c r="H60" s="4">
        <v>3823</v>
      </c>
      <c r="I60" s="4">
        <v>121</v>
      </c>
      <c r="J60" s="4">
        <v>1467</v>
      </c>
      <c r="K60" s="4">
        <v>1329</v>
      </c>
      <c r="L60" s="4">
        <v>5909</v>
      </c>
      <c r="M60" s="4">
        <v>29</v>
      </c>
      <c r="N60" s="4">
        <v>0</v>
      </c>
    </row>
    <row r="61" spans="1:14" ht="17.25">
      <c r="A61" s="21">
        <v>2018</v>
      </c>
      <c r="B61" s="21" t="s">
        <v>148</v>
      </c>
      <c r="C61" s="1">
        <f t="shared" si="1"/>
        <v>24840</v>
      </c>
      <c r="D61" s="4">
        <v>461</v>
      </c>
      <c r="E61" s="4">
        <v>940</v>
      </c>
      <c r="F61" s="4">
        <v>3102</v>
      </c>
      <c r="G61" s="4">
        <v>4611</v>
      </c>
      <c r="H61" s="4">
        <v>4761</v>
      </c>
      <c r="I61" s="4">
        <v>71</v>
      </c>
      <c r="J61" s="4">
        <v>1770</v>
      </c>
      <c r="K61" s="4">
        <v>1534</v>
      </c>
      <c r="L61" s="4">
        <v>7590</v>
      </c>
      <c r="M61" s="4">
        <v>0</v>
      </c>
      <c r="N61" s="4">
        <v>0</v>
      </c>
    </row>
    <row r="62" spans="1:14" ht="17.25">
      <c r="A62" s="21">
        <v>2018</v>
      </c>
      <c r="B62" s="21" t="s">
        <v>149</v>
      </c>
      <c r="C62" s="1">
        <f t="shared" si="1"/>
        <v>24914</v>
      </c>
      <c r="D62" s="4">
        <v>571</v>
      </c>
      <c r="E62" s="4">
        <v>918</v>
      </c>
      <c r="F62" s="4">
        <v>2817</v>
      </c>
      <c r="G62" s="4">
        <v>4207</v>
      </c>
      <c r="H62" s="4">
        <v>5845</v>
      </c>
      <c r="I62" s="4">
        <v>70</v>
      </c>
      <c r="J62" s="4">
        <v>1327</v>
      </c>
      <c r="K62" s="4">
        <v>1602</v>
      </c>
      <c r="L62" s="4">
        <v>7549</v>
      </c>
      <c r="M62" s="4">
        <v>8</v>
      </c>
      <c r="N62" s="4">
        <v>0</v>
      </c>
    </row>
    <row r="63" spans="1:14" ht="17.25">
      <c r="A63" s="21">
        <v>2019</v>
      </c>
      <c r="B63" s="21" t="s">
        <v>138</v>
      </c>
      <c r="C63" s="1">
        <f t="shared" si="1"/>
        <v>28113</v>
      </c>
      <c r="D63" s="3">
        <v>409</v>
      </c>
      <c r="E63" s="3">
        <v>1078</v>
      </c>
      <c r="F63" s="3">
        <v>3325</v>
      </c>
      <c r="G63" s="3">
        <v>4059</v>
      </c>
      <c r="H63" s="3">
        <v>5431</v>
      </c>
      <c r="I63" s="3">
        <v>71</v>
      </c>
      <c r="J63" s="3">
        <v>1631</v>
      </c>
      <c r="K63" s="3">
        <v>2292</v>
      </c>
      <c r="L63" s="3">
        <v>9792</v>
      </c>
      <c r="M63" s="3">
        <v>25</v>
      </c>
      <c r="N63" s="4">
        <v>0</v>
      </c>
    </row>
    <row r="64" spans="1:14" ht="17.25">
      <c r="A64" s="21">
        <v>2019</v>
      </c>
      <c r="B64" s="21" t="s">
        <v>139</v>
      </c>
      <c r="C64" s="1">
        <f t="shared" si="1"/>
        <v>35525</v>
      </c>
      <c r="D64" s="3">
        <v>1113</v>
      </c>
      <c r="E64" s="3">
        <v>1345</v>
      </c>
      <c r="F64" s="3">
        <v>4317</v>
      </c>
      <c r="G64" s="3">
        <v>5721</v>
      </c>
      <c r="H64" s="3">
        <v>6397</v>
      </c>
      <c r="I64" s="3">
        <v>106</v>
      </c>
      <c r="J64" s="3">
        <v>2126</v>
      </c>
      <c r="K64" s="3">
        <v>2084</v>
      </c>
      <c r="L64" s="3">
        <v>12059</v>
      </c>
      <c r="M64" s="3">
        <v>257</v>
      </c>
      <c r="N64" s="4">
        <v>0</v>
      </c>
    </row>
    <row r="65" spans="1:14" ht="17.25">
      <c r="A65" s="21">
        <v>2019</v>
      </c>
      <c r="B65" s="21" t="s">
        <v>140</v>
      </c>
      <c r="C65" s="1">
        <f t="shared" si="1"/>
        <v>43568</v>
      </c>
      <c r="D65" s="3">
        <v>746</v>
      </c>
      <c r="E65" s="3">
        <v>1227</v>
      </c>
      <c r="F65" s="3">
        <v>6551</v>
      </c>
      <c r="G65" s="3">
        <v>6697</v>
      </c>
      <c r="H65" s="3">
        <v>7863</v>
      </c>
      <c r="I65" s="3">
        <v>72</v>
      </c>
      <c r="J65" s="3">
        <v>2400</v>
      </c>
      <c r="K65" s="3">
        <v>2561</v>
      </c>
      <c r="L65" s="3">
        <v>14964</v>
      </c>
      <c r="M65" s="3">
        <v>487</v>
      </c>
      <c r="N65" s="4">
        <v>0</v>
      </c>
    </row>
    <row r="66" spans="1:14" ht="17.25">
      <c r="A66" s="21">
        <v>2019</v>
      </c>
      <c r="B66" s="21" t="s">
        <v>141</v>
      </c>
      <c r="C66" s="1">
        <f t="shared" si="1"/>
        <v>36592</v>
      </c>
      <c r="D66" s="3">
        <v>631</v>
      </c>
      <c r="E66" s="3">
        <v>1090</v>
      </c>
      <c r="F66" s="3">
        <v>4593</v>
      </c>
      <c r="G66" s="3">
        <v>6304</v>
      </c>
      <c r="H66" s="3">
        <v>7187</v>
      </c>
      <c r="I66" s="3">
        <v>43</v>
      </c>
      <c r="J66" s="3">
        <v>1453</v>
      </c>
      <c r="K66" s="3">
        <v>1748</v>
      </c>
      <c r="L66" s="3">
        <v>13503</v>
      </c>
      <c r="M66" s="3">
        <v>40</v>
      </c>
      <c r="N66" s="4">
        <v>0</v>
      </c>
    </row>
    <row r="67" spans="1:14" ht="17.25">
      <c r="A67" s="21">
        <v>2019</v>
      </c>
      <c r="B67" s="21" t="s">
        <v>142</v>
      </c>
      <c r="C67" s="1">
        <f t="shared" ref="C67:C91" si="2">SUM(D67:N67)</f>
        <v>34817</v>
      </c>
      <c r="D67" s="3">
        <v>592</v>
      </c>
      <c r="E67" s="3">
        <v>1163</v>
      </c>
      <c r="F67" s="3">
        <v>4650</v>
      </c>
      <c r="G67" s="3">
        <v>6021</v>
      </c>
      <c r="H67" s="3">
        <v>6844</v>
      </c>
      <c r="I67" s="3">
        <v>104</v>
      </c>
      <c r="J67" s="3">
        <v>2412</v>
      </c>
      <c r="K67" s="3">
        <v>1967</v>
      </c>
      <c r="L67" s="3">
        <v>10983</v>
      </c>
      <c r="M67" s="3">
        <v>81</v>
      </c>
      <c r="N67" s="4">
        <v>0</v>
      </c>
    </row>
    <row r="68" spans="1:14" ht="17.25">
      <c r="A68" s="21">
        <v>2019</v>
      </c>
      <c r="B68" s="21" t="s">
        <v>143</v>
      </c>
      <c r="C68" s="1">
        <f t="shared" si="2"/>
        <v>30047</v>
      </c>
      <c r="D68" s="3">
        <v>664</v>
      </c>
      <c r="E68" s="3">
        <v>1229</v>
      </c>
      <c r="F68" s="3">
        <v>3535</v>
      </c>
      <c r="G68" s="3">
        <v>5290</v>
      </c>
      <c r="H68" s="3">
        <v>6498</v>
      </c>
      <c r="I68" s="3">
        <v>71</v>
      </c>
      <c r="J68" s="3">
        <v>1702</v>
      </c>
      <c r="K68" s="3">
        <v>1533</v>
      </c>
      <c r="L68" s="3">
        <v>9491</v>
      </c>
      <c r="M68" s="3">
        <v>34</v>
      </c>
      <c r="N68" s="4">
        <v>0</v>
      </c>
    </row>
    <row r="69" spans="1:14" ht="17.25">
      <c r="A69" s="21">
        <v>2019</v>
      </c>
      <c r="B69" s="21" t="s">
        <v>144</v>
      </c>
      <c r="C69" s="1">
        <f t="shared" si="2"/>
        <v>24311</v>
      </c>
      <c r="D69" s="3">
        <v>613</v>
      </c>
      <c r="E69" s="3">
        <v>1214</v>
      </c>
      <c r="F69" s="3">
        <v>2749</v>
      </c>
      <c r="G69" s="3">
        <v>4020</v>
      </c>
      <c r="H69" s="3">
        <v>4808</v>
      </c>
      <c r="I69" s="3">
        <v>34</v>
      </c>
      <c r="J69" s="3">
        <v>1172</v>
      </c>
      <c r="K69" s="3">
        <v>1289</v>
      </c>
      <c r="L69" s="3">
        <v>8409</v>
      </c>
      <c r="M69" s="3">
        <v>3</v>
      </c>
      <c r="N69" s="4">
        <v>0</v>
      </c>
    </row>
    <row r="70" spans="1:14" ht="17.25">
      <c r="A70" s="21">
        <v>2019</v>
      </c>
      <c r="B70" s="21" t="s">
        <v>145</v>
      </c>
      <c r="C70" s="1">
        <f t="shared" si="2"/>
        <v>30510</v>
      </c>
      <c r="D70" s="3">
        <v>672</v>
      </c>
      <c r="E70" s="3">
        <v>1304</v>
      </c>
      <c r="F70" s="3">
        <v>3195</v>
      </c>
      <c r="G70" s="3">
        <v>5906</v>
      </c>
      <c r="H70" s="3">
        <v>5641</v>
      </c>
      <c r="I70" s="3">
        <v>209</v>
      </c>
      <c r="J70" s="3">
        <v>1418</v>
      </c>
      <c r="K70" s="3">
        <v>1827</v>
      </c>
      <c r="L70" s="3">
        <v>10288</v>
      </c>
      <c r="M70" s="3">
        <v>50</v>
      </c>
      <c r="N70" s="4">
        <v>0</v>
      </c>
    </row>
    <row r="71" spans="1:14" ht="17.25">
      <c r="A71" s="21">
        <v>2019</v>
      </c>
      <c r="B71" s="21" t="s">
        <v>146</v>
      </c>
      <c r="C71" s="1">
        <f t="shared" si="2"/>
        <v>17614</v>
      </c>
      <c r="D71" s="3">
        <v>347</v>
      </c>
      <c r="E71" s="3">
        <v>670</v>
      </c>
      <c r="F71" s="3">
        <v>2082</v>
      </c>
      <c r="G71" s="3">
        <v>3102</v>
      </c>
      <c r="H71" s="3">
        <v>3411</v>
      </c>
      <c r="I71" s="3">
        <v>32</v>
      </c>
      <c r="J71" s="3">
        <v>1092</v>
      </c>
      <c r="K71" s="3">
        <v>841</v>
      </c>
      <c r="L71" s="3">
        <v>6027</v>
      </c>
      <c r="M71" s="3">
        <v>10</v>
      </c>
      <c r="N71" s="4">
        <v>0</v>
      </c>
    </row>
    <row r="72" spans="1:14" ht="17.25">
      <c r="A72" s="21">
        <v>2019</v>
      </c>
      <c r="B72" s="21" t="s">
        <v>147</v>
      </c>
      <c r="C72" s="1">
        <f t="shared" si="2"/>
        <v>18351</v>
      </c>
      <c r="D72" s="3">
        <v>454</v>
      </c>
      <c r="E72" s="3">
        <v>684</v>
      </c>
      <c r="F72" s="3">
        <v>1678</v>
      </c>
      <c r="G72" s="3">
        <v>2853</v>
      </c>
      <c r="H72" s="3">
        <v>3565</v>
      </c>
      <c r="I72" s="3">
        <v>40</v>
      </c>
      <c r="J72" s="3">
        <v>1118</v>
      </c>
      <c r="K72" s="3">
        <v>1001</v>
      </c>
      <c r="L72" s="3">
        <v>6958</v>
      </c>
      <c r="M72" s="3">
        <v>0</v>
      </c>
      <c r="N72" s="4">
        <v>0</v>
      </c>
    </row>
    <row r="73" spans="1:14" ht="17.25">
      <c r="A73" s="21">
        <v>2019</v>
      </c>
      <c r="B73" s="21" t="s">
        <v>148</v>
      </c>
      <c r="C73" s="1">
        <f t="shared" si="2"/>
        <v>21224</v>
      </c>
      <c r="D73" s="3">
        <v>468</v>
      </c>
      <c r="E73" s="3">
        <v>816</v>
      </c>
      <c r="F73" s="3">
        <v>2069</v>
      </c>
      <c r="G73" s="3">
        <v>3090</v>
      </c>
      <c r="H73" s="3">
        <v>4092</v>
      </c>
      <c r="I73" s="3">
        <v>108</v>
      </c>
      <c r="J73" s="3">
        <v>1825</v>
      </c>
      <c r="K73" s="3">
        <v>1205</v>
      </c>
      <c r="L73" s="3">
        <v>7551</v>
      </c>
      <c r="M73" s="3">
        <v>0</v>
      </c>
      <c r="N73" s="4">
        <v>0</v>
      </c>
    </row>
    <row r="74" spans="1:14" ht="17.25">
      <c r="A74" s="21">
        <v>2019</v>
      </c>
      <c r="B74" s="21" t="s">
        <v>149</v>
      </c>
      <c r="C74" s="1">
        <f t="shared" si="2"/>
        <v>21979</v>
      </c>
      <c r="D74" s="3">
        <v>578</v>
      </c>
      <c r="E74" s="3">
        <v>846</v>
      </c>
      <c r="F74" s="3">
        <v>2531</v>
      </c>
      <c r="G74" s="3">
        <v>3414</v>
      </c>
      <c r="H74" s="3">
        <v>4657</v>
      </c>
      <c r="I74" s="3">
        <v>54</v>
      </c>
      <c r="J74" s="3">
        <v>1065</v>
      </c>
      <c r="K74" s="3">
        <v>1254</v>
      </c>
      <c r="L74" s="3">
        <v>7567</v>
      </c>
      <c r="M74" s="3">
        <v>13</v>
      </c>
      <c r="N74" s="4">
        <v>0</v>
      </c>
    </row>
    <row r="75" spans="1:14" ht="17.25">
      <c r="A75" s="21">
        <v>2020</v>
      </c>
      <c r="B75" s="21" t="s">
        <v>138</v>
      </c>
      <c r="C75" s="1">
        <f t="shared" si="2"/>
        <v>21094</v>
      </c>
      <c r="D75" s="3">
        <v>284</v>
      </c>
      <c r="E75" s="3">
        <v>914</v>
      </c>
      <c r="F75" s="3">
        <v>2249</v>
      </c>
      <c r="G75" s="3">
        <v>3142</v>
      </c>
      <c r="H75" s="3">
        <v>3801</v>
      </c>
      <c r="I75" s="3">
        <v>23</v>
      </c>
      <c r="J75" s="3">
        <v>1310</v>
      </c>
      <c r="K75" s="3">
        <v>1231</v>
      </c>
      <c r="L75" s="3">
        <v>8139</v>
      </c>
      <c r="M75" s="3">
        <v>1</v>
      </c>
      <c r="N75" s="4">
        <v>0</v>
      </c>
    </row>
    <row r="76" spans="1:14" ht="17.25">
      <c r="A76" s="21">
        <v>2020</v>
      </c>
      <c r="B76" s="21" t="s">
        <v>139</v>
      </c>
      <c r="C76" s="1">
        <f t="shared" si="2"/>
        <v>22966</v>
      </c>
      <c r="D76" s="3">
        <v>813</v>
      </c>
      <c r="E76" s="3">
        <v>968</v>
      </c>
      <c r="F76" s="3">
        <v>2780</v>
      </c>
      <c r="G76" s="3">
        <v>3323</v>
      </c>
      <c r="H76" s="3">
        <v>4104</v>
      </c>
      <c r="I76" s="3">
        <v>72</v>
      </c>
      <c r="J76" s="3">
        <v>1638</v>
      </c>
      <c r="K76" s="3">
        <v>1484</v>
      </c>
      <c r="L76" s="3">
        <v>7782</v>
      </c>
      <c r="M76" s="3">
        <v>2</v>
      </c>
      <c r="N76" s="4">
        <v>0</v>
      </c>
    </row>
    <row r="77" spans="1:14" ht="17.25">
      <c r="A77" s="21">
        <v>2020</v>
      </c>
      <c r="B77" s="21" t="s">
        <v>140</v>
      </c>
      <c r="C77" s="1">
        <f t="shared" si="2"/>
        <v>18775</v>
      </c>
      <c r="D77" s="3">
        <v>513</v>
      </c>
      <c r="E77" s="3">
        <v>498</v>
      </c>
      <c r="F77" s="3">
        <v>2090</v>
      </c>
      <c r="G77" s="3">
        <v>2951</v>
      </c>
      <c r="H77" s="3">
        <v>3471</v>
      </c>
      <c r="I77" s="3">
        <v>29</v>
      </c>
      <c r="J77" s="3">
        <v>1007</v>
      </c>
      <c r="K77" s="3">
        <v>850</v>
      </c>
      <c r="L77" s="3">
        <v>7366</v>
      </c>
      <c r="M77" s="3"/>
      <c r="N77" s="4">
        <v>0</v>
      </c>
    </row>
    <row r="78" spans="1:14" ht="17.25">
      <c r="A78" s="21">
        <v>2020</v>
      </c>
      <c r="B78" s="21" t="s">
        <v>141</v>
      </c>
      <c r="C78" s="1">
        <f t="shared" si="2"/>
        <v>42260</v>
      </c>
      <c r="D78" s="3">
        <v>414</v>
      </c>
      <c r="E78" s="3">
        <v>443</v>
      </c>
      <c r="F78" s="3">
        <v>3672</v>
      </c>
      <c r="G78" s="3">
        <v>3462</v>
      </c>
      <c r="H78" s="3">
        <v>23063</v>
      </c>
      <c r="I78" s="3">
        <v>69</v>
      </c>
      <c r="J78" s="3">
        <v>2294</v>
      </c>
      <c r="K78" s="3">
        <v>1318</v>
      </c>
      <c r="L78" s="3">
        <v>7524</v>
      </c>
      <c r="M78" s="3">
        <v>1</v>
      </c>
      <c r="N78" s="4">
        <v>0</v>
      </c>
    </row>
    <row r="79" spans="1:14" ht="17.25">
      <c r="A79" s="21">
        <v>2020</v>
      </c>
      <c r="B79" s="21" t="s">
        <v>142</v>
      </c>
      <c r="C79" s="1">
        <f t="shared" si="2"/>
        <v>28489</v>
      </c>
      <c r="D79" s="3">
        <v>751</v>
      </c>
      <c r="E79" s="3">
        <v>1132</v>
      </c>
      <c r="F79" s="3">
        <v>5672</v>
      </c>
      <c r="G79" s="3">
        <v>4031</v>
      </c>
      <c r="H79" s="3">
        <v>3437</v>
      </c>
      <c r="I79" s="3">
        <v>109</v>
      </c>
      <c r="J79" s="3">
        <v>3070</v>
      </c>
      <c r="K79" s="3">
        <v>1166</v>
      </c>
      <c r="L79" s="3">
        <v>9118</v>
      </c>
      <c r="M79" s="3">
        <v>3</v>
      </c>
      <c r="N79" s="4">
        <v>0</v>
      </c>
    </row>
    <row r="80" spans="1:14" ht="17.25">
      <c r="A80" s="21">
        <v>2020</v>
      </c>
      <c r="B80" s="21" t="s">
        <v>143</v>
      </c>
      <c r="C80" s="1">
        <f t="shared" si="2"/>
        <v>37558</v>
      </c>
      <c r="D80" s="3">
        <v>921</v>
      </c>
      <c r="E80" s="3">
        <v>982</v>
      </c>
      <c r="F80" s="3">
        <v>7818</v>
      </c>
      <c r="G80" s="3">
        <v>4762</v>
      </c>
      <c r="H80" s="3">
        <v>4429</v>
      </c>
      <c r="I80" s="3">
        <v>35</v>
      </c>
      <c r="J80" s="3">
        <v>4784</v>
      </c>
      <c r="K80" s="3">
        <v>1925</v>
      </c>
      <c r="L80" s="3">
        <v>11901</v>
      </c>
      <c r="M80" s="3">
        <v>1</v>
      </c>
      <c r="N80" s="4"/>
    </row>
    <row r="81" spans="1:14" ht="17.25">
      <c r="A81" s="21">
        <v>2020</v>
      </c>
      <c r="B81" s="21" t="s">
        <v>144</v>
      </c>
      <c r="C81" s="1">
        <f t="shared" si="2"/>
        <v>40183</v>
      </c>
      <c r="D81" s="3">
        <v>1339</v>
      </c>
      <c r="E81" s="3">
        <v>1595</v>
      </c>
      <c r="F81" s="3">
        <v>7602</v>
      </c>
      <c r="G81" s="3">
        <v>4974</v>
      </c>
      <c r="H81" s="3">
        <v>5151</v>
      </c>
      <c r="I81" s="3">
        <v>31</v>
      </c>
      <c r="J81" s="3">
        <v>5212</v>
      </c>
      <c r="K81" s="3">
        <v>1500</v>
      </c>
      <c r="L81" s="3">
        <v>12776</v>
      </c>
      <c r="M81" s="3">
        <v>2</v>
      </c>
      <c r="N81" s="4">
        <v>1</v>
      </c>
    </row>
    <row r="82" spans="1:14" ht="17.25">
      <c r="A82" s="21">
        <v>2020</v>
      </c>
      <c r="B82" s="21" t="s">
        <v>145</v>
      </c>
      <c r="C82" s="1">
        <f t="shared" si="2"/>
        <v>37826</v>
      </c>
      <c r="D82" s="3">
        <v>1100</v>
      </c>
      <c r="E82" s="3">
        <v>1061</v>
      </c>
      <c r="F82" s="3">
        <v>6646</v>
      </c>
      <c r="G82" s="3">
        <v>5603</v>
      </c>
      <c r="H82" s="3">
        <v>4070</v>
      </c>
      <c r="I82" s="3">
        <v>69</v>
      </c>
      <c r="J82" s="3">
        <v>2658</v>
      </c>
      <c r="K82" s="3">
        <v>2191</v>
      </c>
      <c r="L82" s="3">
        <v>14408</v>
      </c>
      <c r="M82" s="3">
        <v>20</v>
      </c>
      <c r="N82" s="4"/>
    </row>
    <row r="83" spans="1:14" ht="17.25">
      <c r="A83" s="21">
        <v>2020</v>
      </c>
      <c r="B83" s="21" t="s">
        <v>146</v>
      </c>
      <c r="C83" s="1">
        <f t="shared" si="2"/>
        <v>461642</v>
      </c>
      <c r="D83" s="3">
        <v>12284</v>
      </c>
      <c r="E83" s="3">
        <v>15974</v>
      </c>
      <c r="F83" s="3">
        <v>48696</v>
      </c>
      <c r="G83" s="3">
        <v>28575</v>
      </c>
      <c r="H83" s="3">
        <v>49331</v>
      </c>
      <c r="I83" s="3">
        <v>3629</v>
      </c>
      <c r="J83" s="3">
        <v>29583</v>
      </c>
      <c r="K83" s="3">
        <v>17757</v>
      </c>
      <c r="L83" s="3">
        <v>255813</v>
      </c>
      <c r="M83" s="3"/>
      <c r="N83" s="4"/>
    </row>
    <row r="84" spans="1:14" ht="17.25">
      <c r="A84" s="21">
        <v>2020</v>
      </c>
      <c r="B84" s="21" t="s">
        <v>147</v>
      </c>
      <c r="C84" s="1">
        <f t="shared" si="2"/>
        <v>16424</v>
      </c>
      <c r="D84" s="3">
        <v>480</v>
      </c>
      <c r="E84" s="3">
        <v>738</v>
      </c>
      <c r="F84" s="3">
        <v>2779</v>
      </c>
      <c r="G84" s="3">
        <v>2090</v>
      </c>
      <c r="H84" s="3">
        <v>1492</v>
      </c>
      <c r="I84" s="3">
        <v>87</v>
      </c>
      <c r="J84" s="3">
        <v>781</v>
      </c>
      <c r="K84" s="3">
        <v>930</v>
      </c>
      <c r="L84" s="3">
        <v>7047</v>
      </c>
      <c r="M84" s="3"/>
      <c r="N84" s="4"/>
    </row>
    <row r="85" spans="1:14" ht="17.25">
      <c r="A85" s="21">
        <v>2020</v>
      </c>
      <c r="B85" s="21" t="s">
        <v>148</v>
      </c>
      <c r="C85" s="1">
        <f t="shared" si="2"/>
        <v>32958</v>
      </c>
      <c r="D85" s="3">
        <v>1343</v>
      </c>
      <c r="E85" s="3">
        <v>986</v>
      </c>
      <c r="F85" s="3">
        <v>4300</v>
      </c>
      <c r="G85" s="3">
        <v>3085</v>
      </c>
      <c r="H85" s="3">
        <v>4965</v>
      </c>
      <c r="I85" s="3">
        <v>404</v>
      </c>
      <c r="J85" s="3">
        <v>1294</v>
      </c>
      <c r="K85" s="3">
        <v>1090</v>
      </c>
      <c r="L85" s="3">
        <v>15486</v>
      </c>
      <c r="M85" s="3">
        <v>5</v>
      </c>
      <c r="N85" s="4"/>
    </row>
    <row r="86" spans="1:14" ht="17.25">
      <c r="A86" s="21">
        <v>2020</v>
      </c>
      <c r="B86" s="21" t="s">
        <v>149</v>
      </c>
      <c r="C86" s="1">
        <f t="shared" si="2"/>
        <v>32894</v>
      </c>
      <c r="D86" s="3">
        <v>972</v>
      </c>
      <c r="E86" s="3">
        <v>1196</v>
      </c>
      <c r="F86" s="3">
        <v>4349</v>
      </c>
      <c r="G86" s="3">
        <v>4670</v>
      </c>
      <c r="H86" s="3">
        <v>3905</v>
      </c>
      <c r="I86" s="3">
        <v>175</v>
      </c>
      <c r="J86" s="3">
        <v>1756</v>
      </c>
      <c r="K86" s="3">
        <v>1362</v>
      </c>
      <c r="L86" s="3">
        <v>14509</v>
      </c>
      <c r="M86" s="3"/>
      <c r="N86" s="4"/>
    </row>
    <row r="87" spans="1:14" ht="17.25">
      <c r="A87" s="21">
        <v>2021</v>
      </c>
      <c r="B87" s="21" t="s">
        <v>138</v>
      </c>
      <c r="C87" s="1">
        <f t="shared" si="2"/>
        <v>29175</v>
      </c>
      <c r="D87" s="2">
        <v>964</v>
      </c>
      <c r="E87" s="2">
        <v>1121</v>
      </c>
      <c r="F87" s="2">
        <v>5315</v>
      </c>
      <c r="G87" s="2">
        <v>3183</v>
      </c>
      <c r="H87" s="2">
        <v>2582</v>
      </c>
      <c r="I87" s="2">
        <v>99</v>
      </c>
      <c r="J87" s="2">
        <v>1120</v>
      </c>
      <c r="K87" s="2">
        <v>1226</v>
      </c>
      <c r="L87" s="2">
        <v>13565</v>
      </c>
      <c r="M87" s="2"/>
      <c r="N87" s="2"/>
    </row>
    <row r="88" spans="1:14" ht="17.25">
      <c r="A88" s="21">
        <v>2021</v>
      </c>
      <c r="B88" s="21" t="s">
        <v>139</v>
      </c>
      <c r="C88" s="1">
        <f t="shared" si="2"/>
        <v>39163</v>
      </c>
      <c r="D88" s="2">
        <v>1974</v>
      </c>
      <c r="E88" s="2">
        <v>1886</v>
      </c>
      <c r="F88" s="2">
        <v>7284</v>
      </c>
      <c r="G88" s="2">
        <v>4251</v>
      </c>
      <c r="H88" s="2">
        <v>3015</v>
      </c>
      <c r="I88" s="2">
        <v>96</v>
      </c>
      <c r="J88" s="2">
        <v>1898</v>
      </c>
      <c r="K88" s="2">
        <v>1783</v>
      </c>
      <c r="L88" s="2">
        <v>16976</v>
      </c>
      <c r="M88" s="13"/>
      <c r="N88" s="13"/>
    </row>
    <row r="89" spans="1:14" ht="17.25">
      <c r="A89" s="21">
        <v>2021</v>
      </c>
      <c r="B89" s="21" t="s">
        <v>140</v>
      </c>
      <c r="C89" s="1">
        <f t="shared" si="2"/>
        <v>80139</v>
      </c>
      <c r="D89" s="2">
        <v>4017</v>
      </c>
      <c r="E89" s="2">
        <v>3897</v>
      </c>
      <c r="F89" s="2">
        <v>12969</v>
      </c>
      <c r="G89" s="2">
        <v>7230</v>
      </c>
      <c r="H89" s="2">
        <v>7259</v>
      </c>
      <c r="I89" s="2">
        <v>242</v>
      </c>
      <c r="J89" s="2">
        <v>4347</v>
      </c>
      <c r="K89" s="2">
        <v>4222</v>
      </c>
      <c r="L89" s="2">
        <v>35956</v>
      </c>
      <c r="M89" s="13"/>
      <c r="N89" s="13"/>
    </row>
    <row r="90" spans="1:14" ht="17.25">
      <c r="A90" s="21">
        <v>2021</v>
      </c>
      <c r="B90" s="21" t="s">
        <v>141</v>
      </c>
      <c r="C90" s="1">
        <f t="shared" si="2"/>
        <v>33475</v>
      </c>
      <c r="D90" s="2">
        <v>1480</v>
      </c>
      <c r="E90" s="2">
        <v>1404</v>
      </c>
      <c r="F90" s="2">
        <v>6609</v>
      </c>
      <c r="G90" s="2">
        <v>3828</v>
      </c>
      <c r="H90" s="2">
        <v>4525</v>
      </c>
      <c r="I90" s="2">
        <v>182</v>
      </c>
      <c r="J90" s="2">
        <v>1985</v>
      </c>
      <c r="K90" s="2">
        <v>1622</v>
      </c>
      <c r="L90" s="2">
        <v>11840</v>
      </c>
      <c r="M90" s="13"/>
      <c r="N90" s="13"/>
    </row>
    <row r="91" spans="1:14" ht="17.25">
      <c r="A91" s="21">
        <v>2021</v>
      </c>
      <c r="B91" s="21" t="s">
        <v>142</v>
      </c>
      <c r="C91" s="1">
        <f t="shared" si="2"/>
        <v>44475</v>
      </c>
      <c r="D91" s="13">
        <v>1407</v>
      </c>
      <c r="E91" s="13">
        <v>2870</v>
      </c>
      <c r="F91" s="13">
        <v>10913</v>
      </c>
      <c r="G91" s="13">
        <v>4513</v>
      </c>
      <c r="H91" s="13">
        <v>5688</v>
      </c>
      <c r="I91" s="13">
        <v>386</v>
      </c>
      <c r="J91" s="13">
        <v>2938</v>
      </c>
      <c r="K91" s="13">
        <v>1789</v>
      </c>
      <c r="L91" s="13">
        <v>13971</v>
      </c>
      <c r="M91" s="13"/>
      <c r="N91" s="13"/>
    </row>
    <row r="92" spans="1:14">
      <c r="A92" s="21">
        <v>2021</v>
      </c>
      <c r="B92" s="21" t="s">
        <v>143</v>
      </c>
      <c r="C92" s="19">
        <f>Monthly!CN5</f>
        <v>40460</v>
      </c>
      <c r="D92" s="19">
        <f>Monthly!CN6</f>
        <v>1537</v>
      </c>
      <c r="E92" s="19">
        <f>Monthly!CN7</f>
        <v>2081</v>
      </c>
      <c r="F92" s="19">
        <f>Monthly!CN8</f>
        <v>6061</v>
      </c>
      <c r="G92" s="19">
        <f>Monthly!CN9</f>
        <v>4726</v>
      </c>
      <c r="H92" s="19">
        <f>Monthly!CN10</f>
        <v>2923</v>
      </c>
      <c r="I92" s="19">
        <f>Monthly!CN11</f>
        <v>92</v>
      </c>
      <c r="J92" s="19">
        <f>Monthly!CN12</f>
        <v>2610</v>
      </c>
      <c r="K92" s="19">
        <f>Monthly!CN13</f>
        <v>2540</v>
      </c>
      <c r="L92" s="19">
        <f>Monthly!CN14</f>
        <v>17890</v>
      </c>
      <c r="M92" s="19">
        <f>Monthly!CN15</f>
        <v>0</v>
      </c>
      <c r="N92" s="19">
        <f>Monthly!CN16</f>
        <v>0</v>
      </c>
    </row>
    <row r="93" spans="1:14">
      <c r="A93" s="21">
        <v>2021</v>
      </c>
      <c r="B93" s="21" t="s">
        <v>144</v>
      </c>
      <c r="C93" s="19">
        <f>Monthly!CO5</f>
        <v>40332</v>
      </c>
      <c r="D93" s="19">
        <f>Monthly!CO6</f>
        <v>2158</v>
      </c>
      <c r="E93" s="19">
        <f>Monthly!CO7</f>
        <v>2470</v>
      </c>
      <c r="F93" s="19">
        <f>Monthly!CO8</f>
        <v>7571</v>
      </c>
      <c r="G93" s="19">
        <f>Monthly!CO9</f>
        <v>3902</v>
      </c>
      <c r="H93" s="19">
        <f>Monthly!CO10</f>
        <v>3319</v>
      </c>
      <c r="I93" s="19">
        <f>Monthly!CO11</f>
        <v>172</v>
      </c>
      <c r="J93" s="19">
        <f>Monthly!CO12</f>
        <v>2628</v>
      </c>
      <c r="K93" s="19">
        <f>Monthly!CO13</f>
        <v>1505</v>
      </c>
      <c r="L93" s="19">
        <f>Monthly!CO14</f>
        <v>16607</v>
      </c>
      <c r="M93" s="19">
        <f>Monthly!CO15</f>
        <v>0</v>
      </c>
      <c r="N93" s="19">
        <f>Monthly!CO16</f>
        <v>0</v>
      </c>
    </row>
    <row r="94" spans="1:14">
      <c r="A94" s="21">
        <v>2021</v>
      </c>
      <c r="B94" s="21" t="s">
        <v>145</v>
      </c>
      <c r="C94" s="19">
        <f>Monthly!CP5</f>
        <v>60116</v>
      </c>
      <c r="D94" s="19">
        <f>Monthly!CP6</f>
        <v>2319</v>
      </c>
      <c r="E94" s="19">
        <f>Monthly!CP7</f>
        <v>3597</v>
      </c>
      <c r="F94" s="19">
        <f>Monthly!CP8</f>
        <v>9180</v>
      </c>
      <c r="G94" s="19">
        <f>Monthly!CP9</f>
        <v>6412</v>
      </c>
      <c r="H94" s="19">
        <f>Monthly!CP10</f>
        <v>4670</v>
      </c>
      <c r="I94" s="19">
        <f>Monthly!CP11</f>
        <v>47</v>
      </c>
      <c r="J94" s="19">
        <f>Monthly!CP12</f>
        <v>2982</v>
      </c>
      <c r="K94" s="19">
        <f>Monthly!CP13</f>
        <v>2528</v>
      </c>
      <c r="L94" s="19">
        <f>Monthly!CP14</f>
        <v>28381</v>
      </c>
      <c r="M94" s="19">
        <f>Monthly!CP15</f>
        <v>0</v>
      </c>
      <c r="N94" s="19">
        <f>Monthly!CP16</f>
        <v>0</v>
      </c>
    </row>
    <row r="95" spans="1:14">
      <c r="A95" s="21">
        <v>2021</v>
      </c>
      <c r="B95" s="21" t="s">
        <v>146</v>
      </c>
      <c r="C95" s="19">
        <f>Monthly!CQ5</f>
        <v>113024</v>
      </c>
      <c r="D95" s="19">
        <f>Monthly!CQ6</f>
        <v>1648</v>
      </c>
      <c r="E95" s="19">
        <f>Monthly!CQ7</f>
        <v>2203</v>
      </c>
      <c r="F95" s="19">
        <f>Monthly!CQ8</f>
        <v>12269</v>
      </c>
      <c r="G95" s="19">
        <f>Monthly!CQ9</f>
        <v>6638</v>
      </c>
      <c r="H95" s="19">
        <f>Monthly!CQ10</f>
        <v>6883</v>
      </c>
      <c r="I95" s="19">
        <f>Monthly!CQ11</f>
        <v>681</v>
      </c>
      <c r="J95" s="19">
        <f>Monthly!CQ12</f>
        <v>3563</v>
      </c>
      <c r="K95" s="19">
        <f>Monthly!CQ13</f>
        <v>2831</v>
      </c>
      <c r="L95" s="19">
        <f>Monthly!CQ14</f>
        <v>76308</v>
      </c>
      <c r="M95" s="19">
        <f>Monthly!CQ15</f>
        <v>0</v>
      </c>
      <c r="N95" s="19">
        <f>Monthly!CQ16</f>
        <v>0</v>
      </c>
    </row>
    <row r="96" spans="1:14">
      <c r="A96" s="21">
        <v>2021</v>
      </c>
      <c r="B96" s="21" t="s">
        <v>147</v>
      </c>
      <c r="C96" s="19">
        <f>Monthly!CR5</f>
        <v>22857</v>
      </c>
      <c r="D96" s="19">
        <f>Monthly!CR6</f>
        <v>434</v>
      </c>
      <c r="E96" s="19">
        <f>Monthly!CR7</f>
        <v>835</v>
      </c>
      <c r="F96" s="19">
        <f>Monthly!CR8</f>
        <v>3029</v>
      </c>
      <c r="G96" s="19">
        <f>Monthly!CR9</f>
        <v>2273</v>
      </c>
      <c r="H96" s="19">
        <f>Monthly!CR10</f>
        <v>2219</v>
      </c>
      <c r="I96" s="19">
        <f>Monthly!CR11</f>
        <v>37</v>
      </c>
      <c r="J96" s="19">
        <f>Monthly!CR12</f>
        <v>1136</v>
      </c>
      <c r="K96" s="19">
        <f>Monthly!CR13</f>
        <v>1011</v>
      </c>
      <c r="L96" s="19">
        <f>Monthly!CR14</f>
        <v>11883</v>
      </c>
      <c r="M96" s="19">
        <f>Monthly!CR15</f>
        <v>0</v>
      </c>
      <c r="N96" s="19">
        <f>Monthly!CR16</f>
        <v>0</v>
      </c>
    </row>
    <row r="97" spans="1:14">
      <c r="A97" s="21">
        <v>2021</v>
      </c>
      <c r="B97" s="21" t="s">
        <v>148</v>
      </c>
      <c r="C97" s="19">
        <f>Monthly!CS5</f>
        <v>32038</v>
      </c>
      <c r="D97" s="19">
        <f>Monthly!CS6</f>
        <v>709</v>
      </c>
      <c r="E97" s="19">
        <f>Monthly!CS7</f>
        <v>728</v>
      </c>
      <c r="F97" s="19">
        <f>Monthly!CS8</f>
        <v>3673</v>
      </c>
      <c r="G97" s="19">
        <f>Monthly!CS9</f>
        <v>3005</v>
      </c>
      <c r="H97" s="19">
        <f>Monthly!CS10</f>
        <v>2567</v>
      </c>
      <c r="I97" s="19">
        <f>Monthly!CS11</f>
        <v>13</v>
      </c>
      <c r="J97" s="19">
        <f>Monthly!CS12</f>
        <v>2086</v>
      </c>
      <c r="K97" s="19">
        <f>Monthly!CS13</f>
        <v>1173</v>
      </c>
      <c r="L97" s="19">
        <f>Monthly!CS14</f>
        <v>18084</v>
      </c>
      <c r="M97" s="19">
        <f>Monthly!CS15</f>
        <v>0</v>
      </c>
      <c r="N97" s="19">
        <f>Monthly!CS16</f>
        <v>0</v>
      </c>
    </row>
    <row r="98" spans="1:14">
      <c r="A98" s="21">
        <v>2021</v>
      </c>
      <c r="B98" s="21" t="s">
        <v>149</v>
      </c>
      <c r="C98" s="19">
        <f>Monthly!CT5</f>
        <v>27361</v>
      </c>
      <c r="D98" s="19">
        <f>Monthly!CT6</f>
        <v>650</v>
      </c>
      <c r="E98" s="19">
        <f>Monthly!CT7</f>
        <v>769</v>
      </c>
      <c r="F98" s="19">
        <f>Monthly!CT8</f>
        <v>3606</v>
      </c>
      <c r="G98" s="19">
        <f>Monthly!CT9</f>
        <v>2649</v>
      </c>
      <c r="H98" s="19">
        <f>Monthly!CT10</f>
        <v>3315</v>
      </c>
      <c r="I98" s="19">
        <f>Monthly!CT11</f>
        <v>96</v>
      </c>
      <c r="J98" s="19">
        <f>Monthly!CT12</f>
        <v>1893</v>
      </c>
      <c r="K98" s="19">
        <f>Monthly!CT13</f>
        <v>1415</v>
      </c>
      <c r="L98" s="19">
        <f>Monthly!CT14</f>
        <v>12968</v>
      </c>
      <c r="M98" s="19">
        <f>Monthly!CT15</f>
        <v>0</v>
      </c>
      <c r="N98" s="19">
        <f>Monthly!CT16</f>
        <v>0</v>
      </c>
    </row>
    <row r="99" spans="1:14">
      <c r="A99" s="21">
        <v>2022</v>
      </c>
      <c r="B99" s="21" t="s">
        <v>138</v>
      </c>
      <c r="C99" s="29">
        <f>Monthly!CU5</f>
        <v>33805</v>
      </c>
      <c r="D99" s="29">
        <f>Monthly!CU6</f>
        <v>1332</v>
      </c>
      <c r="E99" s="29">
        <f>Monthly!CU7</f>
        <v>1359</v>
      </c>
      <c r="F99" s="29">
        <f>Monthly!CU8</f>
        <v>4458</v>
      </c>
      <c r="G99" s="29">
        <f>Monthly!CU9</f>
        <v>2511</v>
      </c>
      <c r="H99" s="29">
        <f>Monthly!CU10</f>
        <v>4196</v>
      </c>
      <c r="I99" s="29">
        <f>Monthly!CU11</f>
        <v>195</v>
      </c>
      <c r="J99" s="29">
        <f>Monthly!CU12</f>
        <v>2738</v>
      </c>
      <c r="K99" s="29">
        <f>Monthly!CU13</f>
        <v>1646</v>
      </c>
      <c r="L99" s="29">
        <f>Monthly!CU14</f>
        <v>15365</v>
      </c>
      <c r="M99" s="29">
        <f>Monthly!CU15</f>
        <v>5</v>
      </c>
      <c r="N99" s="29">
        <f>Monthly!CU16</f>
        <v>0</v>
      </c>
    </row>
    <row r="100" spans="1:14">
      <c r="A100" s="21">
        <v>2022</v>
      </c>
      <c r="B100" s="21" t="s">
        <v>139</v>
      </c>
      <c r="C100" s="29">
        <f>Monthly!CV5</f>
        <v>43642</v>
      </c>
      <c r="D100" s="29">
        <f>Monthly!CV6</f>
        <v>1525</v>
      </c>
      <c r="E100" s="29">
        <f>Monthly!CV7</f>
        <v>1929</v>
      </c>
      <c r="F100" s="29">
        <f>Monthly!CV8</f>
        <v>7237</v>
      </c>
      <c r="G100" s="29">
        <f>Monthly!CV9</f>
        <v>4939</v>
      </c>
      <c r="H100" s="29">
        <f>Monthly!CV10</f>
        <v>4264</v>
      </c>
      <c r="I100" s="29">
        <f>Monthly!CV11</f>
        <v>87</v>
      </c>
      <c r="J100" s="29">
        <f>Monthly!CV12</f>
        <v>3935</v>
      </c>
      <c r="K100" s="29">
        <f>Monthly!CV13</f>
        <v>1986</v>
      </c>
      <c r="L100" s="29">
        <f>Monthly!CV14</f>
        <v>17740</v>
      </c>
      <c r="M100" s="29">
        <f>Monthly!CV15</f>
        <v>0</v>
      </c>
      <c r="N100" s="29">
        <f>Monthly!CV16</f>
        <v>0</v>
      </c>
    </row>
    <row r="101" spans="1:14">
      <c r="A101" s="21">
        <v>2022</v>
      </c>
      <c r="B101" s="21" t="s">
        <v>140</v>
      </c>
      <c r="C101" s="29">
        <f>Monthly!CW5</f>
        <v>56537</v>
      </c>
      <c r="D101" s="29">
        <f>Monthly!CW6</f>
        <v>1654</v>
      </c>
      <c r="E101" s="29">
        <f>Monthly!CW7</f>
        <v>1310</v>
      </c>
      <c r="F101" s="29">
        <f>Monthly!CW8</f>
        <v>8545</v>
      </c>
      <c r="G101" s="29">
        <f>Monthly!CW9</f>
        <v>5177</v>
      </c>
      <c r="H101" s="29">
        <f>Monthly!CW10</f>
        <v>6182</v>
      </c>
      <c r="I101" s="29">
        <f>Monthly!CW11</f>
        <v>143</v>
      </c>
      <c r="J101" s="29">
        <f>Monthly!CW12</f>
        <v>3936</v>
      </c>
      <c r="K101" s="29">
        <f>Monthly!CW13</f>
        <v>4320</v>
      </c>
      <c r="L101" s="29">
        <f>Monthly!CW14</f>
        <v>25270</v>
      </c>
      <c r="M101" s="29">
        <f>Monthly!CW15</f>
        <v>0</v>
      </c>
      <c r="N101" s="29">
        <f>Monthly!CW16</f>
        <v>0</v>
      </c>
    </row>
    <row r="102" spans="1:14">
      <c r="A102" s="21">
        <v>2022</v>
      </c>
      <c r="B102" s="21" t="s">
        <v>141</v>
      </c>
      <c r="C102" s="29">
        <f>Monthly!CX5</f>
        <v>33013</v>
      </c>
      <c r="D102" s="29">
        <f>Monthly!CX6</f>
        <v>903</v>
      </c>
      <c r="E102" s="29">
        <f>Monthly!CX7</f>
        <v>1960</v>
      </c>
      <c r="F102" s="29">
        <f>Monthly!CX8</f>
        <v>4722</v>
      </c>
      <c r="G102" s="29">
        <f>Monthly!CX9</f>
        <v>3633</v>
      </c>
      <c r="H102" s="29">
        <f>Monthly!CX10</f>
        <v>3741</v>
      </c>
      <c r="I102" s="29">
        <f>Monthly!CX11</f>
        <v>63</v>
      </c>
      <c r="J102" s="29">
        <f>Monthly!CX12</f>
        <v>2172</v>
      </c>
      <c r="K102" s="29">
        <f>Monthly!CX13</f>
        <v>2361</v>
      </c>
      <c r="L102" s="29">
        <f>Monthly!CX14</f>
        <v>13458</v>
      </c>
      <c r="M102" s="29">
        <f>Monthly!CX15</f>
        <v>0</v>
      </c>
      <c r="N102" s="29">
        <f>Monthly!CX16</f>
        <v>0</v>
      </c>
    </row>
    <row r="103" spans="1:14">
      <c r="A103" s="21">
        <v>2022</v>
      </c>
      <c r="B103" s="21" t="s">
        <v>142</v>
      </c>
      <c r="C103" s="29">
        <f>Monthly!CY5</f>
        <v>44977</v>
      </c>
      <c r="D103" s="29">
        <f>Monthly!CY6</f>
        <v>1489</v>
      </c>
      <c r="E103" s="29">
        <f>Monthly!CY7</f>
        <v>1592</v>
      </c>
      <c r="F103" s="29">
        <f>Monthly!CY8</f>
        <v>5905</v>
      </c>
      <c r="G103" s="29">
        <f>Monthly!CY9</f>
        <v>6362</v>
      </c>
      <c r="H103" s="29">
        <f>Monthly!CY10</f>
        <v>4518</v>
      </c>
      <c r="I103" s="29">
        <f>Monthly!CY11</f>
        <v>107</v>
      </c>
      <c r="J103" s="29">
        <f>Monthly!CY12</f>
        <v>2701</v>
      </c>
      <c r="K103" s="29">
        <f>Monthly!CY13</f>
        <v>2089</v>
      </c>
      <c r="L103" s="29">
        <f>Monthly!CY14</f>
        <v>20209</v>
      </c>
      <c r="M103" s="29">
        <f>Monthly!CY15</f>
        <v>5</v>
      </c>
      <c r="N103" s="29">
        <f>Monthly!CY16</f>
        <v>0</v>
      </c>
    </row>
    <row r="104" spans="1:14">
      <c r="A104" s="21">
        <v>2022</v>
      </c>
      <c r="B104" s="21" t="s">
        <v>143</v>
      </c>
      <c r="C104" s="29">
        <f>Monthly!CZ5</f>
        <v>41093</v>
      </c>
      <c r="D104" s="29">
        <f>Monthly!CZ6</f>
        <v>1827</v>
      </c>
      <c r="E104" s="29">
        <f>Monthly!CZ7</f>
        <v>1254</v>
      </c>
      <c r="F104" s="29">
        <f>Monthly!CZ8</f>
        <v>5793</v>
      </c>
      <c r="G104" s="29">
        <f>Monthly!CZ9</f>
        <v>4983</v>
      </c>
      <c r="H104" s="29">
        <f>Monthly!CZ10</f>
        <v>4704</v>
      </c>
      <c r="I104" s="29">
        <f>Monthly!CZ11</f>
        <v>85</v>
      </c>
      <c r="J104" s="29">
        <f>Monthly!CZ12</f>
        <v>1603</v>
      </c>
      <c r="K104" s="29">
        <f>Monthly!CZ13</f>
        <v>2347</v>
      </c>
      <c r="L104" s="29">
        <f>Monthly!CZ14</f>
        <v>18497</v>
      </c>
      <c r="M104" s="29">
        <f>Monthly!CZ15</f>
        <v>0</v>
      </c>
      <c r="N104" s="29">
        <f>Monthly!CZ16</f>
        <v>0</v>
      </c>
    </row>
    <row r="105" spans="1:14">
      <c r="A105" s="21">
        <v>2022</v>
      </c>
      <c r="B105" s="21" t="s">
        <v>144</v>
      </c>
      <c r="C105" s="29">
        <f>Monthly!DA5</f>
        <v>35478</v>
      </c>
      <c r="D105" s="29">
        <f>Monthly!DA6</f>
        <v>1003</v>
      </c>
      <c r="E105" s="29">
        <f>Monthly!DA7</f>
        <v>1032</v>
      </c>
      <c r="F105" s="29">
        <f>Monthly!DA8</f>
        <v>5367</v>
      </c>
      <c r="G105" s="29">
        <f>Monthly!DA9</f>
        <v>4057</v>
      </c>
      <c r="H105" s="29">
        <f>Monthly!DA10</f>
        <v>4793</v>
      </c>
      <c r="I105" s="29">
        <f>Monthly!DA11</f>
        <v>101</v>
      </c>
      <c r="J105" s="29">
        <f>Monthly!DA12</f>
        <v>1943</v>
      </c>
      <c r="K105" s="29">
        <f>Monthly!DA13</f>
        <v>2107</v>
      </c>
      <c r="L105" s="29">
        <f>Monthly!DA14</f>
        <v>15075</v>
      </c>
      <c r="M105" s="29">
        <f>Monthly!DA15</f>
        <v>0</v>
      </c>
      <c r="N105" s="29">
        <f>Monthly!DA16</f>
        <v>0</v>
      </c>
    </row>
    <row r="106" spans="1:14">
      <c r="A106" s="21">
        <v>2022</v>
      </c>
      <c r="B106" s="21" t="s">
        <v>145</v>
      </c>
      <c r="C106" s="29">
        <f>Monthly!DB5</f>
        <v>37235</v>
      </c>
      <c r="D106" s="29">
        <f>Monthly!DB6</f>
        <v>1118</v>
      </c>
      <c r="E106" s="29">
        <f>Monthly!DB7</f>
        <v>1397</v>
      </c>
      <c r="F106" s="29">
        <f>Monthly!DB8</f>
        <v>5651</v>
      </c>
      <c r="G106" s="29">
        <f>Monthly!DB9</f>
        <v>5904</v>
      </c>
      <c r="H106" s="29">
        <f>Monthly!DB10</f>
        <v>3886</v>
      </c>
      <c r="I106" s="29">
        <f>Monthly!DB11</f>
        <v>45</v>
      </c>
      <c r="J106" s="29">
        <f>Monthly!DB12</f>
        <v>1663</v>
      </c>
      <c r="K106" s="29">
        <f>Monthly!DB13</f>
        <v>1652</v>
      </c>
      <c r="L106" s="29">
        <f>Monthly!DB14</f>
        <v>15919</v>
      </c>
      <c r="M106" s="29">
        <f>Monthly!DB15</f>
        <v>0</v>
      </c>
      <c r="N106" s="29">
        <f>Monthly!DB16</f>
        <v>0</v>
      </c>
    </row>
    <row r="107" spans="1:14">
      <c r="A107" s="21">
        <v>2022</v>
      </c>
      <c r="B107" s="21" t="s">
        <v>146</v>
      </c>
      <c r="C107" s="29">
        <f>Monthly!DC5</f>
        <v>39708</v>
      </c>
      <c r="D107" s="29">
        <f>Monthly!DC6</f>
        <v>1369</v>
      </c>
      <c r="E107" s="29">
        <f>Monthly!DC7</f>
        <v>2243</v>
      </c>
      <c r="F107" s="29">
        <f>Monthly!DC8</f>
        <v>5374</v>
      </c>
      <c r="G107" s="29">
        <f>Monthly!DC9</f>
        <v>5413</v>
      </c>
      <c r="H107" s="29">
        <f>Monthly!DC10</f>
        <v>6145</v>
      </c>
      <c r="I107" s="29">
        <f>Monthly!DC11</f>
        <v>71</v>
      </c>
      <c r="J107" s="29">
        <f>Monthly!DC12</f>
        <v>2569</v>
      </c>
      <c r="K107" s="29">
        <f>Monthly!DC13</f>
        <v>1821</v>
      </c>
      <c r="L107" s="29">
        <f>Monthly!DC14</f>
        <v>14703</v>
      </c>
      <c r="M107" s="29">
        <f>Monthly!DC15</f>
        <v>0</v>
      </c>
      <c r="N107" s="29">
        <f>Monthly!DC16</f>
        <v>0</v>
      </c>
    </row>
    <row r="108" spans="1:14">
      <c r="A108" s="21">
        <v>2022</v>
      </c>
      <c r="B108" s="21" t="s">
        <v>147</v>
      </c>
      <c r="C108" s="29">
        <f>Monthly!DD5</f>
        <v>25334</v>
      </c>
      <c r="D108" s="29">
        <f>Monthly!DD6</f>
        <v>619</v>
      </c>
      <c r="E108" s="29">
        <f>Monthly!DD7</f>
        <v>977</v>
      </c>
      <c r="F108" s="29">
        <f>Monthly!DD8</f>
        <v>4371</v>
      </c>
      <c r="G108" s="29">
        <f>Monthly!DD9</f>
        <v>2435</v>
      </c>
      <c r="H108" s="29">
        <f>Monthly!DD10</f>
        <v>2302</v>
      </c>
      <c r="I108" s="29">
        <f>Monthly!DD11</f>
        <v>37</v>
      </c>
      <c r="J108" s="29">
        <f>Monthly!DD12</f>
        <v>2812</v>
      </c>
      <c r="K108" s="29">
        <f>Monthly!DD13</f>
        <v>1545</v>
      </c>
      <c r="L108" s="29">
        <f>Monthly!DD14</f>
        <v>10236</v>
      </c>
      <c r="M108" s="29">
        <f>Monthly!DD15</f>
        <v>0</v>
      </c>
      <c r="N108" s="29">
        <f>Monthly!DD16</f>
        <v>0</v>
      </c>
    </row>
    <row r="109" spans="1:14">
      <c r="A109" s="21">
        <v>2022</v>
      </c>
      <c r="B109" s="21" t="s">
        <v>148</v>
      </c>
      <c r="C109" s="29">
        <f>Monthly!DE5</f>
        <v>38829</v>
      </c>
      <c r="D109" s="29">
        <f>Monthly!DE6</f>
        <v>1138</v>
      </c>
      <c r="E109" s="29">
        <f>Monthly!DE7</f>
        <v>1647</v>
      </c>
      <c r="F109" s="29">
        <f>Monthly!DE8</f>
        <v>6509</v>
      </c>
      <c r="G109" s="29">
        <f>Monthly!DE9</f>
        <v>4908</v>
      </c>
      <c r="H109" s="29">
        <f>Monthly!DE10</f>
        <v>3961</v>
      </c>
      <c r="I109" s="29">
        <f>Monthly!DE11</f>
        <v>220</v>
      </c>
      <c r="J109" s="29">
        <f>Monthly!DE12</f>
        <v>2433</v>
      </c>
      <c r="K109" s="29">
        <f>Monthly!DE13</f>
        <v>2676</v>
      </c>
      <c r="L109" s="29">
        <f>Monthly!DE14</f>
        <v>15337</v>
      </c>
      <c r="M109" s="29">
        <f>Monthly!DE15</f>
        <v>0</v>
      </c>
      <c r="N109" s="29">
        <f>Monthly!DE16</f>
        <v>0</v>
      </c>
    </row>
    <row r="110" spans="1:14">
      <c r="A110" s="21">
        <v>2022</v>
      </c>
      <c r="B110" s="21" t="s">
        <v>149</v>
      </c>
      <c r="C110" s="29">
        <f>Monthly!DF5</f>
        <v>86275</v>
      </c>
      <c r="D110" s="29">
        <f>Monthly!DF6</f>
        <v>2357</v>
      </c>
      <c r="E110" s="29">
        <f>Monthly!DF7</f>
        <v>2562</v>
      </c>
      <c r="F110" s="29">
        <f>Monthly!DF8</f>
        <v>11065</v>
      </c>
      <c r="G110" s="29">
        <f>Monthly!DF9</f>
        <v>7717</v>
      </c>
      <c r="H110" s="29">
        <f>Monthly!DF10</f>
        <v>9376</v>
      </c>
      <c r="I110" s="29">
        <f>Monthly!DF11</f>
        <v>229</v>
      </c>
      <c r="J110" s="29">
        <f>Monthly!DF12</f>
        <v>6424</v>
      </c>
      <c r="K110" s="29">
        <f>Monthly!DF13</f>
        <v>4532</v>
      </c>
      <c r="L110" s="29">
        <f>Monthly!DF14</f>
        <v>42013</v>
      </c>
      <c r="M110" s="29">
        <f>Monthly!DF15</f>
        <v>0</v>
      </c>
      <c r="N110" s="29">
        <f>Monthly!DF16</f>
        <v>0</v>
      </c>
    </row>
    <row r="111" spans="1:14">
      <c r="A111">
        <v>2023</v>
      </c>
      <c r="B111" t="s">
        <v>138</v>
      </c>
      <c r="C111">
        <f>Monthly!DG5</f>
        <v>92593</v>
      </c>
      <c r="D111">
        <f>Monthly!DG6</f>
        <v>3575</v>
      </c>
      <c r="E111">
        <f>Monthly!DG7</f>
        <v>3289</v>
      </c>
      <c r="F111">
        <f>Monthly!DG8</f>
        <v>15113</v>
      </c>
      <c r="G111">
        <f>Monthly!DG9</f>
        <v>10211</v>
      </c>
      <c r="H111">
        <f>Monthly!DG10</f>
        <v>11055</v>
      </c>
      <c r="I111">
        <f>Monthly!DG11</f>
        <v>326</v>
      </c>
      <c r="J111">
        <f>Monthly!DG12</f>
        <v>5755</v>
      </c>
      <c r="K111">
        <f>Monthly!DG13</f>
        <v>6011</v>
      </c>
      <c r="L111">
        <f>Monthly!DG14</f>
        <v>37258</v>
      </c>
      <c r="M111">
        <f>Monthly!DG15</f>
        <v>0</v>
      </c>
      <c r="N111">
        <f>Monthly!DG16</f>
        <v>0</v>
      </c>
    </row>
    <row r="112" spans="1:14">
      <c r="A112">
        <v>2023</v>
      </c>
      <c r="B112" t="s">
        <v>139</v>
      </c>
      <c r="C112">
        <f>Monthly!DH5</f>
        <v>121518</v>
      </c>
      <c r="D112">
        <f>Monthly!DH6</f>
        <v>3062</v>
      </c>
      <c r="E112">
        <f>Monthly!DH7</f>
        <v>4532</v>
      </c>
      <c r="F112">
        <f>Monthly!DH8</f>
        <v>20560</v>
      </c>
      <c r="G112">
        <f>Monthly!DH9</f>
        <v>11038</v>
      </c>
      <c r="H112">
        <f>Monthly!DH10</f>
        <v>14524</v>
      </c>
      <c r="I112">
        <f>Monthly!DH11</f>
        <v>324</v>
      </c>
      <c r="J112">
        <f>Monthly!DH12</f>
        <v>8151</v>
      </c>
      <c r="K112">
        <f>Monthly!DH13</f>
        <v>8866</v>
      </c>
      <c r="L112">
        <f>Monthly!DH14</f>
        <v>50461</v>
      </c>
      <c r="M112">
        <f>Monthly!DH15</f>
        <v>0</v>
      </c>
      <c r="N112">
        <f>Monthly!DH16</f>
        <v>0</v>
      </c>
    </row>
    <row r="113" spans="1:14">
      <c r="A113">
        <v>2023</v>
      </c>
      <c r="B113" t="s">
        <v>140</v>
      </c>
      <c r="C113">
        <f>Monthly!DI5</f>
        <v>85935</v>
      </c>
      <c r="D113">
        <f>Monthly!DI6</f>
        <v>2352</v>
      </c>
      <c r="E113">
        <f>Monthly!DI7</f>
        <v>3471</v>
      </c>
      <c r="F113">
        <f>Monthly!DI8</f>
        <v>14454</v>
      </c>
      <c r="G113">
        <f>Monthly!DI9</f>
        <v>8772</v>
      </c>
      <c r="H113">
        <f>Monthly!DI10</f>
        <v>10153</v>
      </c>
      <c r="I113">
        <f>Monthly!DI11</f>
        <v>446</v>
      </c>
      <c r="J113">
        <f>Monthly!DI12</f>
        <v>6484</v>
      </c>
      <c r="K113">
        <f>Monthly!DI13</f>
        <v>4984</v>
      </c>
      <c r="L113">
        <f>Monthly!DI14</f>
        <v>34819</v>
      </c>
      <c r="M113">
        <f>Monthly!DI15</f>
        <v>0</v>
      </c>
      <c r="N113">
        <f>Monthly!DI16</f>
        <v>0</v>
      </c>
    </row>
    <row r="114" spans="1:14">
      <c r="A114">
        <v>2023</v>
      </c>
      <c r="B114" t="s">
        <v>141</v>
      </c>
      <c r="C114">
        <f>Monthly!DJ5</f>
        <v>32905</v>
      </c>
      <c r="D114">
        <f>Monthly!DJ6</f>
        <v>971</v>
      </c>
      <c r="E114">
        <f>Monthly!DJ7</f>
        <v>1375</v>
      </c>
      <c r="F114">
        <f>Monthly!DJ8</f>
        <v>5575</v>
      </c>
      <c r="G114">
        <f>Monthly!DJ9</f>
        <v>3515</v>
      </c>
      <c r="H114">
        <f>Monthly!DJ10</f>
        <v>3728</v>
      </c>
      <c r="I114">
        <f>Monthly!DJ11</f>
        <v>41</v>
      </c>
      <c r="J114">
        <f>Monthly!DJ12</f>
        <v>2356</v>
      </c>
      <c r="K114">
        <f>Monthly!DJ13</f>
        <v>3866</v>
      </c>
      <c r="L114">
        <f>Monthly!DJ14</f>
        <v>11478</v>
      </c>
      <c r="M114">
        <f>Monthly!DJ15</f>
        <v>0</v>
      </c>
      <c r="N114">
        <f>Monthly!DJ16</f>
        <v>0</v>
      </c>
    </row>
    <row r="115" spans="1:14">
      <c r="A115">
        <v>2023</v>
      </c>
      <c r="B115" t="s">
        <v>142</v>
      </c>
      <c r="C115">
        <f>Monthly!DK5</f>
        <v>89422</v>
      </c>
      <c r="D115">
        <f>Monthly!DK6</f>
        <v>6099</v>
      </c>
      <c r="E115">
        <f>Monthly!DK7</f>
        <v>7699</v>
      </c>
      <c r="F115">
        <f>Monthly!DK8</f>
        <v>18124</v>
      </c>
      <c r="G115">
        <f>Monthly!DK9</f>
        <v>10487</v>
      </c>
      <c r="H115">
        <f>Monthly!DK10</f>
        <v>12393</v>
      </c>
      <c r="I115">
        <f>Monthly!DK11</f>
        <v>126</v>
      </c>
      <c r="J115">
        <f>Monthly!DK12</f>
        <v>4599</v>
      </c>
      <c r="K115">
        <f>Monthly!DK13</f>
        <v>3405</v>
      </c>
      <c r="L115">
        <f>Monthly!DK14</f>
        <v>26490</v>
      </c>
      <c r="M115">
        <f>Monthly!DK15</f>
        <v>0</v>
      </c>
      <c r="N115">
        <f>Monthly!DK16</f>
        <v>0</v>
      </c>
    </row>
    <row r="116" spans="1:14">
      <c r="A116">
        <v>2023</v>
      </c>
      <c r="B116" t="s">
        <v>143</v>
      </c>
      <c r="C116">
        <f>Monthly!DL5</f>
        <v>75466</v>
      </c>
      <c r="D116">
        <f>Monthly!DL6</f>
        <v>3138</v>
      </c>
      <c r="E116">
        <f>Monthly!DL7</f>
        <v>3106</v>
      </c>
      <c r="F116">
        <f>Monthly!DL8</f>
        <v>15193</v>
      </c>
      <c r="G116">
        <f>Monthly!DL9</f>
        <v>8177</v>
      </c>
      <c r="H116">
        <f>Monthly!DL10</f>
        <v>9074</v>
      </c>
      <c r="I116">
        <f>Monthly!DL11</f>
        <v>387</v>
      </c>
      <c r="J116">
        <f>Monthly!DL12</f>
        <v>4212</v>
      </c>
      <c r="K116">
        <f>Monthly!DL13</f>
        <v>3471</v>
      </c>
      <c r="L116">
        <f>Monthly!DL14</f>
        <v>28708</v>
      </c>
      <c r="M116">
        <f>Monthly!DL15</f>
        <v>0</v>
      </c>
      <c r="N116">
        <f>Monthly!DL16</f>
        <v>0</v>
      </c>
    </row>
    <row r="117" spans="1:14">
      <c r="A117">
        <v>2023</v>
      </c>
      <c r="B117" t="s">
        <v>144</v>
      </c>
      <c r="C117">
        <f>Monthly!DM5</f>
        <v>29317</v>
      </c>
      <c r="D117">
        <f>Monthly!DM6</f>
        <v>839</v>
      </c>
      <c r="E117">
        <f>Monthly!DM7</f>
        <v>945</v>
      </c>
      <c r="F117">
        <f>Monthly!DM8</f>
        <v>5562</v>
      </c>
      <c r="G117">
        <f>Monthly!DM9</f>
        <v>4733</v>
      </c>
      <c r="H117">
        <f>Monthly!DM10</f>
        <v>3002</v>
      </c>
      <c r="I117">
        <f>Monthly!DM11</f>
        <v>28</v>
      </c>
      <c r="J117">
        <f>Monthly!DM12</f>
        <v>2754</v>
      </c>
      <c r="K117">
        <f>Monthly!DM13</f>
        <v>1989</v>
      </c>
      <c r="L117">
        <f>Monthly!DM14</f>
        <v>9465</v>
      </c>
      <c r="M117">
        <f>Monthly!DM15</f>
        <v>0</v>
      </c>
      <c r="N117">
        <f>Monthly!DM16</f>
        <v>0</v>
      </c>
    </row>
    <row r="118" spans="1:14">
      <c r="A118">
        <v>2023</v>
      </c>
      <c r="B118" t="s">
        <v>145</v>
      </c>
      <c r="C118">
        <f>Monthly!DN5</f>
        <v>19314</v>
      </c>
      <c r="D118">
        <f>Monthly!DN6</f>
        <v>1272</v>
      </c>
      <c r="E118">
        <f>Monthly!DN7</f>
        <v>1108</v>
      </c>
      <c r="F118">
        <f>Monthly!DN8</f>
        <v>3978</v>
      </c>
      <c r="G118">
        <f>Monthly!DN9</f>
        <v>2354</v>
      </c>
      <c r="H118">
        <f>Monthly!DN10</f>
        <v>1981</v>
      </c>
      <c r="I118">
        <f>Monthly!DN11</f>
        <v>55</v>
      </c>
      <c r="J118">
        <f>Monthly!DN12</f>
        <v>792</v>
      </c>
      <c r="K118">
        <f>Monthly!DN13</f>
        <v>1185</v>
      </c>
      <c r="L118">
        <f>Monthly!DN14</f>
        <v>6589</v>
      </c>
      <c r="M118">
        <f>Monthly!DN15</f>
        <v>0</v>
      </c>
      <c r="N118">
        <f>Monthly!DN16</f>
        <v>0</v>
      </c>
    </row>
    <row r="119" spans="1:14">
      <c r="A119">
        <v>2023</v>
      </c>
      <c r="B119" t="s">
        <v>146</v>
      </c>
      <c r="C119">
        <f>Monthly!DO5</f>
        <v>15380</v>
      </c>
      <c r="D119">
        <f>Monthly!DO6</f>
        <v>445</v>
      </c>
      <c r="E119">
        <f>Monthly!DO7</f>
        <v>635</v>
      </c>
      <c r="F119">
        <f>Monthly!DO8</f>
        <v>2824</v>
      </c>
      <c r="G119">
        <f>Monthly!DO9</f>
        <v>1553</v>
      </c>
      <c r="H119">
        <f>Monthly!DO10</f>
        <v>2013</v>
      </c>
      <c r="I119">
        <f>Monthly!DO11</f>
        <v>22</v>
      </c>
      <c r="J119">
        <f>Monthly!DO12</f>
        <v>867</v>
      </c>
      <c r="K119">
        <f>Monthly!DO13</f>
        <v>802</v>
      </c>
      <c r="L119">
        <f>Monthly!DO14</f>
        <v>6219</v>
      </c>
      <c r="M119">
        <f>Monthly!DO15</f>
        <v>0</v>
      </c>
      <c r="N119">
        <f>Monthly!DO16</f>
        <v>0</v>
      </c>
    </row>
    <row r="120" spans="1:14">
      <c r="A120">
        <v>2023</v>
      </c>
      <c r="B120" t="s">
        <v>147</v>
      </c>
      <c r="C120">
        <f>Monthly!DP5</f>
        <v>37813</v>
      </c>
      <c r="D120">
        <f>Monthly!DP6</f>
        <v>1134</v>
      </c>
      <c r="E120">
        <f>Monthly!DP7</f>
        <v>1144</v>
      </c>
      <c r="F120">
        <f>Monthly!DP8</f>
        <v>6681</v>
      </c>
      <c r="G120">
        <f>Monthly!DP9</f>
        <v>4390</v>
      </c>
      <c r="H120">
        <f>Monthly!DP10</f>
        <v>3591</v>
      </c>
      <c r="I120">
        <f>Monthly!DP11</f>
        <v>65</v>
      </c>
      <c r="J120">
        <f>Monthly!DP12</f>
        <v>2649</v>
      </c>
      <c r="K120">
        <f>Monthly!DP13</f>
        <v>2483</v>
      </c>
      <c r="L120">
        <f>Monthly!DP14</f>
        <v>15676</v>
      </c>
      <c r="M120">
        <f>Monthly!DP15</f>
        <v>0</v>
      </c>
      <c r="N120">
        <f>Monthly!DP16</f>
        <v>0</v>
      </c>
    </row>
    <row r="121" spans="1:14">
      <c r="A121">
        <v>2023</v>
      </c>
      <c r="B121" t="s">
        <v>148</v>
      </c>
      <c r="C121">
        <f>Monthly!DQ5</f>
        <v>74332</v>
      </c>
      <c r="D121">
        <f>Monthly!DQ6</f>
        <v>3242</v>
      </c>
      <c r="E121">
        <f>Monthly!DQ7</f>
        <v>3161</v>
      </c>
      <c r="F121">
        <f>Monthly!DQ8</f>
        <v>12585</v>
      </c>
      <c r="G121">
        <f>Monthly!DQ9</f>
        <v>8669</v>
      </c>
      <c r="H121">
        <f>Monthly!DQ10</f>
        <v>8927</v>
      </c>
      <c r="I121">
        <f>Monthly!DQ11</f>
        <v>541</v>
      </c>
      <c r="J121">
        <f>Monthly!DQ12</f>
        <v>4281</v>
      </c>
      <c r="K121">
        <f>Monthly!DQ13</f>
        <v>4675</v>
      </c>
      <c r="L121">
        <f>Monthly!DQ14</f>
        <v>28251</v>
      </c>
      <c r="M121">
        <f>Monthly!DQ15</f>
        <v>0</v>
      </c>
      <c r="N121">
        <f>Monthly!DQ16</f>
        <v>0</v>
      </c>
    </row>
    <row r="122" spans="1:14">
      <c r="A122">
        <v>2023</v>
      </c>
      <c r="B122" t="s">
        <v>149</v>
      </c>
      <c r="C122">
        <f>Monthly!DR5</f>
        <v>67122</v>
      </c>
      <c r="D122">
        <f>Monthly!DR6</f>
        <v>2765</v>
      </c>
      <c r="E122">
        <f>Monthly!DR7</f>
        <v>2674</v>
      </c>
      <c r="F122">
        <f>Monthly!DR8</f>
        <v>11123</v>
      </c>
      <c r="G122">
        <f>Monthly!DR9</f>
        <v>7823</v>
      </c>
      <c r="H122">
        <f>Monthly!DR10</f>
        <v>7556</v>
      </c>
      <c r="I122">
        <f>Monthly!DR11</f>
        <v>321</v>
      </c>
      <c r="J122">
        <f>Monthly!DR12</f>
        <v>4124</v>
      </c>
      <c r="K122">
        <f>Monthly!DR13</f>
        <v>3242</v>
      </c>
      <c r="L122">
        <f>Monthly!DR14</f>
        <v>27494</v>
      </c>
      <c r="M122">
        <f>Monthly!DR15</f>
        <v>0</v>
      </c>
      <c r="N122">
        <f>Monthly!DR16</f>
        <v>0</v>
      </c>
    </row>
    <row r="123" spans="1:14">
      <c r="A123">
        <v>2024</v>
      </c>
      <c r="B123" t="s">
        <v>138</v>
      </c>
      <c r="C123">
        <f>Monthly!DS5</f>
        <v>76611</v>
      </c>
      <c r="D123">
        <f>Monthly!DS6</f>
        <v>2919</v>
      </c>
      <c r="E123">
        <f>Monthly!DS7</f>
        <v>2416</v>
      </c>
      <c r="F123">
        <f>Monthly!DS8</f>
        <v>13384</v>
      </c>
      <c r="G123">
        <f>Monthly!DS9</f>
        <v>8671</v>
      </c>
      <c r="H123">
        <f>Monthly!DS10</f>
        <v>11202</v>
      </c>
      <c r="I123">
        <f>Monthly!DS11</f>
        <v>367</v>
      </c>
      <c r="J123">
        <f>Monthly!DS12</f>
        <v>3284</v>
      </c>
      <c r="K123">
        <f>Monthly!DS13</f>
        <v>4141</v>
      </c>
      <c r="L123">
        <f>Monthly!DS14</f>
        <v>30227</v>
      </c>
      <c r="M123">
        <f>Monthly!DS15</f>
        <v>0</v>
      </c>
      <c r="N123">
        <f>Monthly!DS16</f>
        <v>0</v>
      </c>
    </row>
    <row r="124" spans="1:14">
      <c r="A124">
        <v>2024</v>
      </c>
      <c r="B124" t="s">
        <v>139</v>
      </c>
      <c r="C124">
        <f>Monthly!DT5</f>
        <v>87423</v>
      </c>
      <c r="D124">
        <f>Monthly!DT6</f>
        <v>3306</v>
      </c>
      <c r="E124">
        <f>Monthly!DT7</f>
        <v>3248</v>
      </c>
      <c r="F124">
        <f>Monthly!DT8</f>
        <v>15325</v>
      </c>
      <c r="G124">
        <f>Monthly!DT9</f>
        <v>9852</v>
      </c>
      <c r="H124">
        <f>Monthly!DT10</f>
        <v>11006</v>
      </c>
      <c r="I124">
        <f>Monthly!DT11</f>
        <v>174</v>
      </c>
      <c r="J124">
        <f>Monthly!DT12</f>
        <v>4749</v>
      </c>
      <c r="K124">
        <f>Monthly!DT13</f>
        <v>5390</v>
      </c>
      <c r="L124">
        <f>Monthly!DT14</f>
        <v>34373</v>
      </c>
      <c r="M124">
        <f>Monthly!DT15</f>
        <v>0</v>
      </c>
      <c r="N124">
        <f>Monthly!DT16</f>
        <v>0</v>
      </c>
    </row>
    <row r="125" spans="1:14">
      <c r="A125">
        <v>2024</v>
      </c>
      <c r="B125" t="s">
        <v>140</v>
      </c>
      <c r="C125">
        <f>Monthly!DU5</f>
        <v>81678</v>
      </c>
      <c r="D125">
        <f>Monthly!DU6</f>
        <v>2474</v>
      </c>
      <c r="E125">
        <f>Monthly!DU7</f>
        <v>2815</v>
      </c>
      <c r="F125">
        <f>Monthly!DU8</f>
        <v>13058</v>
      </c>
      <c r="G125">
        <f>Monthly!DU9</f>
        <v>12058</v>
      </c>
      <c r="H125">
        <f>Monthly!DU10</f>
        <v>10337</v>
      </c>
      <c r="I125">
        <f>Monthly!DU11</f>
        <v>156</v>
      </c>
      <c r="J125">
        <f>Monthly!DU12</f>
        <v>3602</v>
      </c>
      <c r="K125">
        <f>Monthly!DU13</f>
        <v>3940</v>
      </c>
      <c r="L125">
        <f>Monthly!DU14</f>
        <v>33238</v>
      </c>
      <c r="M125">
        <f>Monthly!DU15</f>
        <v>0</v>
      </c>
      <c r="N125">
        <f>Monthly!DU16</f>
        <v>0</v>
      </c>
    </row>
    <row r="126" spans="1:14">
      <c r="A126">
        <v>2024</v>
      </c>
      <c r="B126" t="s">
        <v>141</v>
      </c>
      <c r="C126">
        <f>Monthly!DV5</f>
        <v>75402</v>
      </c>
      <c r="D126">
        <f>Monthly!DV6</f>
        <v>1882</v>
      </c>
      <c r="E126">
        <f>Monthly!DV7</f>
        <v>3309</v>
      </c>
      <c r="F126">
        <f>Monthly!DV8</f>
        <v>12633</v>
      </c>
      <c r="G126">
        <f>Monthly!DV9</f>
        <v>9292</v>
      </c>
      <c r="H126">
        <f>Monthly!DV10</f>
        <v>11169</v>
      </c>
      <c r="I126">
        <f>Monthly!DV11</f>
        <v>154</v>
      </c>
      <c r="J126">
        <f>Monthly!DV12</f>
        <v>4375</v>
      </c>
      <c r="K126">
        <f>Monthly!DV13</f>
        <v>3388</v>
      </c>
      <c r="L126">
        <f>Monthly!DV14</f>
        <v>29200</v>
      </c>
      <c r="M126">
        <f>Monthly!DV15</f>
        <v>0</v>
      </c>
      <c r="N126">
        <f>Monthly!DV16</f>
        <v>0</v>
      </c>
    </row>
    <row r="127" spans="1:14">
      <c r="A127">
        <v>2024</v>
      </c>
      <c r="B127" t="s">
        <v>142</v>
      </c>
      <c r="C127">
        <f>Monthly!DW5</f>
        <v>76390</v>
      </c>
      <c r="D127">
        <f>Monthly!DW6</f>
        <v>1789</v>
      </c>
      <c r="E127">
        <f>Monthly!DW7</f>
        <v>3639</v>
      </c>
      <c r="F127">
        <f>Monthly!DW8</f>
        <v>12148</v>
      </c>
      <c r="G127">
        <f>Monthly!DW9</f>
        <v>9092</v>
      </c>
      <c r="H127">
        <f>Monthly!DW10</f>
        <v>10135</v>
      </c>
      <c r="I127">
        <f>Monthly!DW11</f>
        <v>266</v>
      </c>
      <c r="J127">
        <f>Monthly!DW12</f>
        <v>3577</v>
      </c>
      <c r="K127">
        <f>Monthly!DW13</f>
        <v>4367</v>
      </c>
      <c r="L127">
        <f>Monthly!DW14</f>
        <v>31377</v>
      </c>
      <c r="M127">
        <f>Monthly!DW15</f>
        <v>0</v>
      </c>
      <c r="N127">
        <f>Monthly!DW16</f>
        <v>0</v>
      </c>
    </row>
    <row r="128" spans="1:14">
      <c r="A128">
        <v>2024</v>
      </c>
      <c r="B128" t="s">
        <v>143</v>
      </c>
      <c r="C128">
        <f>Monthly!DX5</f>
        <v>125261</v>
      </c>
      <c r="D128">
        <f>Monthly!DX6</f>
        <v>4319</v>
      </c>
      <c r="E128">
        <f>Monthly!DX7</f>
        <v>6927</v>
      </c>
      <c r="F128">
        <f>Monthly!DX8</f>
        <v>23510</v>
      </c>
      <c r="G128">
        <f>Monthly!DX9</f>
        <v>17580</v>
      </c>
      <c r="H128">
        <f>Monthly!DX10</f>
        <v>17565</v>
      </c>
      <c r="I128">
        <f>Monthly!DX11</f>
        <v>1118</v>
      </c>
      <c r="J128">
        <f>Monthly!DX12</f>
        <v>6315</v>
      </c>
      <c r="K128">
        <f>Monthly!DX13</f>
        <v>7742</v>
      </c>
      <c r="L128">
        <f>Monthly!DX14</f>
        <v>40185</v>
      </c>
      <c r="M128">
        <f>Monthly!DX15</f>
        <v>0</v>
      </c>
      <c r="N128">
        <f>Monthly!DX16</f>
        <v>0</v>
      </c>
    </row>
    <row r="129" spans="1:14">
      <c r="A129">
        <v>2024</v>
      </c>
      <c r="B129" t="s">
        <v>144</v>
      </c>
      <c r="C129">
        <f>Monthly!DY5</f>
        <v>77742</v>
      </c>
      <c r="D129">
        <f>Monthly!DY6</f>
        <v>1143</v>
      </c>
      <c r="E129">
        <f>Monthly!DY7</f>
        <v>2478</v>
      </c>
      <c r="F129">
        <f>Monthly!DY8</f>
        <v>11342</v>
      </c>
      <c r="G129">
        <f>Monthly!DY9</f>
        <v>8528</v>
      </c>
      <c r="H129">
        <f>Monthly!DY10</f>
        <v>8384</v>
      </c>
      <c r="I129">
        <f>Monthly!DY11</f>
        <v>616</v>
      </c>
      <c r="J129">
        <f>Monthly!DY12</f>
        <v>3670</v>
      </c>
      <c r="K129">
        <f>Monthly!DY13</f>
        <v>4973</v>
      </c>
      <c r="L129">
        <f>Monthly!DY14</f>
        <v>36608</v>
      </c>
      <c r="M129">
        <f>Monthly!DY15</f>
        <v>0</v>
      </c>
      <c r="N129">
        <f>Monthly!DY16</f>
        <v>0</v>
      </c>
    </row>
    <row r="130" spans="1:14">
      <c r="A130">
        <v>2024</v>
      </c>
      <c r="B130" t="s">
        <v>145</v>
      </c>
      <c r="C130">
        <f>Monthly!DZ5</f>
        <v>66868</v>
      </c>
      <c r="D130">
        <f>Monthly!DZ6</f>
        <v>672</v>
      </c>
      <c r="E130">
        <f>Monthly!DZ7</f>
        <v>2805</v>
      </c>
      <c r="F130">
        <f>Monthly!DZ8</f>
        <v>12026</v>
      </c>
      <c r="G130">
        <f>Monthly!DZ9</f>
        <v>7540</v>
      </c>
      <c r="H130">
        <f>Monthly!DZ10</f>
        <v>8336</v>
      </c>
      <c r="I130">
        <f>Monthly!DZ11</f>
        <v>271</v>
      </c>
      <c r="J130">
        <f>Monthly!DZ12</f>
        <v>3509</v>
      </c>
      <c r="K130">
        <f>Monthly!DZ13</f>
        <v>4494</v>
      </c>
      <c r="L130">
        <f>Monthly!DZ14</f>
        <v>27215</v>
      </c>
      <c r="M130">
        <f>Monthly!DZ15</f>
        <v>0</v>
      </c>
      <c r="N130">
        <f>Monthly!DZ16</f>
        <v>0</v>
      </c>
    </row>
    <row r="131" spans="1:14">
      <c r="A131">
        <v>2024</v>
      </c>
      <c r="B131" t="s">
        <v>146</v>
      </c>
      <c r="C131">
        <f>Monthly!EA5</f>
        <v>46837</v>
      </c>
      <c r="D131">
        <f>Monthly!EA6</f>
        <v>489</v>
      </c>
      <c r="E131">
        <f>Monthly!EA7</f>
        <v>1329</v>
      </c>
      <c r="F131">
        <f>Monthly!EA8</f>
        <v>7646</v>
      </c>
      <c r="G131">
        <f>Monthly!EA9</f>
        <v>5556</v>
      </c>
      <c r="H131">
        <f>Monthly!EA10</f>
        <v>4765</v>
      </c>
      <c r="I131">
        <f>Monthly!EA11</f>
        <v>80</v>
      </c>
      <c r="J131">
        <f>Monthly!EA12</f>
        <v>2416</v>
      </c>
      <c r="K131">
        <f>Monthly!EA13</f>
        <v>3339</v>
      </c>
      <c r="L131">
        <f>Monthly!EA14</f>
        <v>21217</v>
      </c>
      <c r="M131">
        <f>Monthly!EA15</f>
        <v>0</v>
      </c>
      <c r="N131">
        <f>Monthly!EA16</f>
        <v>0</v>
      </c>
    </row>
    <row r="132" spans="1:14">
      <c r="A132">
        <v>2024</v>
      </c>
      <c r="B132" t="s">
        <v>147</v>
      </c>
      <c r="C132">
        <f>Monthly!EB5</f>
        <v>47158</v>
      </c>
      <c r="D132">
        <f>Monthly!EB6</f>
        <v>642</v>
      </c>
      <c r="E132">
        <f>Monthly!EB7</f>
        <v>1326</v>
      </c>
      <c r="F132">
        <f>Monthly!EB8</f>
        <v>8147</v>
      </c>
      <c r="G132">
        <f>Monthly!EB9</f>
        <v>5292</v>
      </c>
      <c r="H132">
        <f>Monthly!EB10</f>
        <v>11888</v>
      </c>
      <c r="I132">
        <f>Monthly!EB11</f>
        <v>18</v>
      </c>
      <c r="J132">
        <f>Monthly!EB12</f>
        <v>1723</v>
      </c>
      <c r="K132">
        <f>Monthly!EB13</f>
        <v>2748</v>
      </c>
      <c r="L132">
        <f>Monthly!EB14</f>
        <v>15374</v>
      </c>
      <c r="M132">
        <f>Monthly!EB15</f>
        <v>0</v>
      </c>
      <c r="N132">
        <f>Monthly!EB16</f>
        <v>0</v>
      </c>
    </row>
    <row r="133" spans="1:14">
      <c r="A133">
        <v>2024</v>
      </c>
      <c r="B133" t="s">
        <v>148</v>
      </c>
      <c r="C133">
        <f>Monthly!EC5</f>
        <v>38482</v>
      </c>
      <c r="D133">
        <f>Monthly!EC6</f>
        <v>510</v>
      </c>
      <c r="E133">
        <f>Monthly!EC7</f>
        <v>1539</v>
      </c>
      <c r="F133">
        <f>Monthly!EC8</f>
        <v>6909</v>
      </c>
      <c r="G133">
        <f>Monthly!EC9</f>
        <v>6583</v>
      </c>
      <c r="H133">
        <f>Monthly!EC10</f>
        <v>6248</v>
      </c>
      <c r="I133">
        <f>Monthly!EC11</f>
        <v>256</v>
      </c>
      <c r="J133">
        <f>Monthly!EC12</f>
        <v>1838</v>
      </c>
      <c r="K133">
        <f>Monthly!EC13</f>
        <v>2408</v>
      </c>
      <c r="L133">
        <f>Monthly!EC14</f>
        <v>12191</v>
      </c>
      <c r="M133">
        <f>Monthly!EC15</f>
        <v>0</v>
      </c>
      <c r="N133">
        <f>Monthly!EC16</f>
        <v>0</v>
      </c>
    </row>
    <row r="134" spans="1:14">
      <c r="A134">
        <v>2024</v>
      </c>
      <c r="B134" t="s">
        <v>149</v>
      </c>
      <c r="C134">
        <f>Monthly!ED5</f>
        <v>36621</v>
      </c>
      <c r="D134">
        <f>Monthly!ED6</f>
        <v>482</v>
      </c>
      <c r="E134">
        <f>Monthly!ED7</f>
        <v>836</v>
      </c>
      <c r="F134">
        <f>Monthly!ED8</f>
        <v>6467</v>
      </c>
      <c r="G134">
        <f>Monthly!ED9</f>
        <v>4719</v>
      </c>
      <c r="H134">
        <f>Monthly!ED10</f>
        <v>5381</v>
      </c>
      <c r="I134">
        <f>Monthly!ED11</f>
        <v>91</v>
      </c>
      <c r="J134">
        <f>Monthly!ED12</f>
        <v>1240</v>
      </c>
      <c r="K134">
        <f>Monthly!ED13</f>
        <v>2191</v>
      </c>
      <c r="L134">
        <f>Monthly!ED14</f>
        <v>15214</v>
      </c>
      <c r="M134">
        <f>Monthly!ED15</f>
        <v>0</v>
      </c>
      <c r="N134">
        <f>Monthly!ED16</f>
        <v>0</v>
      </c>
    </row>
    <row r="135" spans="1:14">
      <c r="A135">
        <v>2025</v>
      </c>
      <c r="B135" t="s">
        <v>138</v>
      </c>
      <c r="C135">
        <f>Monthly!EE5</f>
        <v>38654</v>
      </c>
      <c r="D135">
        <f>Monthly!EE6</f>
        <v>409</v>
      </c>
      <c r="E135">
        <f>Monthly!EE7</f>
        <v>1040</v>
      </c>
      <c r="F135">
        <f>Monthly!EE8</f>
        <v>5788</v>
      </c>
      <c r="G135">
        <f>Monthly!EE9</f>
        <v>4909</v>
      </c>
      <c r="H135">
        <f>Monthly!EE10</f>
        <v>5898</v>
      </c>
      <c r="I135">
        <f>Monthly!EE11</f>
        <v>61</v>
      </c>
      <c r="J135">
        <f>Monthly!EE12</f>
        <v>1473</v>
      </c>
      <c r="K135">
        <f>Monthly!EE13</f>
        <v>2433</v>
      </c>
      <c r="L135">
        <f>Monthly!EE14</f>
        <v>16643</v>
      </c>
      <c r="M135">
        <f>Monthly!EE15</f>
        <v>0</v>
      </c>
      <c r="N135">
        <f>Monthly!EE16</f>
        <v>0</v>
      </c>
    </row>
    <row r="136" spans="1:14">
      <c r="A136">
        <v>2025</v>
      </c>
      <c r="B136" t="s">
        <v>139</v>
      </c>
      <c r="C136">
        <f>Monthly!EF5</f>
        <v>38965</v>
      </c>
      <c r="D136">
        <f>Monthly!EF6</f>
        <v>856</v>
      </c>
      <c r="E136">
        <f>Monthly!EF7</f>
        <v>1991</v>
      </c>
      <c r="F136">
        <f>Monthly!EF8</f>
        <v>6996</v>
      </c>
      <c r="G136">
        <f>Monthly!EF9</f>
        <v>4566</v>
      </c>
      <c r="H136">
        <f>Monthly!EF10</f>
        <v>5475</v>
      </c>
      <c r="I136">
        <f>Monthly!EF11</f>
        <v>54</v>
      </c>
      <c r="J136">
        <f>Monthly!EF12</f>
        <v>1790</v>
      </c>
      <c r="K136">
        <f>Monthly!EF13</f>
        <v>1866</v>
      </c>
      <c r="L136">
        <f>Monthly!EF14</f>
        <v>15371</v>
      </c>
      <c r="M136">
        <f>Monthly!EF15</f>
        <v>0</v>
      </c>
      <c r="N136">
        <f>Monthly!EF16</f>
        <v>0</v>
      </c>
    </row>
    <row r="137" spans="1:14">
      <c r="A137">
        <v>2025</v>
      </c>
      <c r="B137" t="s">
        <v>140</v>
      </c>
      <c r="C137">
        <f>Monthly!EG5</f>
        <v>44660</v>
      </c>
      <c r="D137">
        <f>Monthly!EG6</f>
        <v>707</v>
      </c>
      <c r="E137">
        <f>Monthly!EG7</f>
        <v>1476</v>
      </c>
      <c r="F137">
        <f>Monthly!EG8</f>
        <v>7568</v>
      </c>
      <c r="G137">
        <f>Monthly!EG9</f>
        <v>6364</v>
      </c>
      <c r="H137">
        <f>Monthly!EG10</f>
        <v>7318</v>
      </c>
      <c r="I137">
        <f>Monthly!EG11</f>
        <v>143</v>
      </c>
      <c r="J137">
        <f>Monthly!EG12</f>
        <v>2490</v>
      </c>
      <c r="K137">
        <f>Monthly!EG13</f>
        <v>2772</v>
      </c>
      <c r="L137">
        <f>Monthly!EG14</f>
        <v>15822</v>
      </c>
      <c r="M137">
        <f>Monthly!EG15</f>
        <v>0</v>
      </c>
      <c r="N137">
        <f>Monthly!EG16</f>
        <v>0</v>
      </c>
    </row>
    <row r="138" spans="1:14">
      <c r="A138">
        <v>2025</v>
      </c>
      <c r="B138" t="s">
        <v>141</v>
      </c>
      <c r="C138">
        <f>Monthly!EH5</f>
        <v>46210</v>
      </c>
      <c r="D138">
        <f>Monthly!EH6</f>
        <v>2434</v>
      </c>
      <c r="E138">
        <f>Monthly!EH7</f>
        <v>2798</v>
      </c>
      <c r="F138">
        <f>Monthly!EH8</f>
        <v>7246</v>
      </c>
      <c r="G138">
        <f>Monthly!EH9</f>
        <v>7853</v>
      </c>
      <c r="H138">
        <f>Monthly!EH10</f>
        <v>7633</v>
      </c>
      <c r="I138">
        <f>Monthly!EH11</f>
        <v>83</v>
      </c>
      <c r="J138">
        <f>Monthly!EH12</f>
        <v>1498</v>
      </c>
      <c r="K138">
        <f>Monthly!EH13</f>
        <v>3092</v>
      </c>
      <c r="L138">
        <f>Monthly!EH14</f>
        <v>13573</v>
      </c>
      <c r="M138">
        <f>Monthly!EH15</f>
        <v>0</v>
      </c>
      <c r="N138">
        <f>Monthly!EH16</f>
        <v>0</v>
      </c>
    </row>
    <row r="139" spans="1:14">
      <c r="A139">
        <v>2025</v>
      </c>
      <c r="B139" t="s">
        <v>142</v>
      </c>
      <c r="C139">
        <f>Monthly!EI5</f>
        <v>65580</v>
      </c>
      <c r="D139">
        <f>Monthly!EI6</f>
        <v>4120</v>
      </c>
      <c r="E139">
        <f>Monthly!EI7</f>
        <v>4264</v>
      </c>
      <c r="F139">
        <f>Monthly!EI8</f>
        <v>14023</v>
      </c>
      <c r="G139">
        <f>Monthly!EI9</f>
        <v>12296</v>
      </c>
      <c r="H139">
        <f>Monthly!EI10</f>
        <v>9426</v>
      </c>
      <c r="I139">
        <f>Monthly!EI11</f>
        <v>1085</v>
      </c>
      <c r="J139">
        <f>Monthly!EI12</f>
        <v>2158</v>
      </c>
      <c r="K139">
        <f>Monthly!EI13</f>
        <v>2833</v>
      </c>
      <c r="L139">
        <f>Monthly!EI14</f>
        <v>15375</v>
      </c>
      <c r="M139">
        <f>Monthly!EI15</f>
        <v>0</v>
      </c>
      <c r="N139">
        <f>Monthly!EI16</f>
        <v>0</v>
      </c>
    </row>
    <row r="140" spans="1:14">
      <c r="A140">
        <v>2025</v>
      </c>
      <c r="B140" t="s">
        <v>143</v>
      </c>
      <c r="C140">
        <f>Monthly!EJ5</f>
        <v>39961</v>
      </c>
      <c r="D140">
        <f>Monthly!EJ6</f>
        <v>810</v>
      </c>
      <c r="E140">
        <f>Monthly!EJ7</f>
        <v>1789</v>
      </c>
      <c r="F140">
        <f>Monthly!EJ8</f>
        <v>7766</v>
      </c>
      <c r="G140">
        <f>Monthly!EJ9</f>
        <v>5068</v>
      </c>
      <c r="H140">
        <f>Monthly!EJ10</f>
        <v>5518</v>
      </c>
      <c r="I140">
        <f>Monthly!EJ11</f>
        <v>95</v>
      </c>
      <c r="J140">
        <f>Monthly!EJ12</f>
        <v>2188</v>
      </c>
      <c r="K140">
        <f>Monthly!EJ13</f>
        <v>1980</v>
      </c>
      <c r="L140">
        <f>Monthly!EJ14</f>
        <v>14747</v>
      </c>
      <c r="M140">
        <f>Monthly!EJ15</f>
        <v>0</v>
      </c>
      <c r="N140">
        <f>Monthly!EJ16</f>
        <v>0</v>
      </c>
    </row>
    <row r="141" spans="1:14">
      <c r="A141">
        <v>2025</v>
      </c>
      <c r="B141" t="s">
        <v>144</v>
      </c>
      <c r="C141">
        <f>Monthly!EK5</f>
        <v>33903</v>
      </c>
      <c r="D141">
        <f>Monthly!EK6</f>
        <v>421</v>
      </c>
      <c r="E141">
        <f>Monthly!EK7</f>
        <v>1611</v>
      </c>
      <c r="F141">
        <f>Monthly!EK8</f>
        <v>6480</v>
      </c>
      <c r="G141">
        <f>Monthly!EK9</f>
        <v>4270</v>
      </c>
      <c r="H141">
        <f>Monthly!EK10</f>
        <v>4129</v>
      </c>
      <c r="I141">
        <f>Monthly!EK11</f>
        <v>14</v>
      </c>
      <c r="J141">
        <f>Monthly!EK12</f>
        <v>1315</v>
      </c>
      <c r="K141">
        <f>Monthly!EK13</f>
        <v>1272</v>
      </c>
      <c r="L141">
        <f>Monthly!EK14</f>
        <v>14391</v>
      </c>
      <c r="M141">
        <f>Monthly!EK15</f>
        <v>0</v>
      </c>
      <c r="N141">
        <f>Monthly!EK16</f>
        <v>0</v>
      </c>
    </row>
    <row r="142" spans="1:14">
      <c r="A142">
        <v>2025</v>
      </c>
      <c r="B142" t="s">
        <v>145</v>
      </c>
      <c r="C142">
        <f>Monthly!EL5</f>
        <v>31574</v>
      </c>
      <c r="D142">
        <f>Monthly!EL6</f>
        <v>602</v>
      </c>
      <c r="E142">
        <f>Monthly!EL7</f>
        <v>1718</v>
      </c>
      <c r="F142">
        <f>Monthly!EL8</f>
        <v>6596</v>
      </c>
      <c r="G142">
        <f>Monthly!EL9</f>
        <v>3642</v>
      </c>
      <c r="H142">
        <f>Monthly!EL10</f>
        <v>4209</v>
      </c>
      <c r="I142">
        <f>Monthly!EL11</f>
        <v>55</v>
      </c>
      <c r="J142">
        <f>Monthly!EL12</f>
        <v>1512</v>
      </c>
      <c r="K142">
        <f>Monthly!EL13</f>
        <v>1322</v>
      </c>
      <c r="L142">
        <f>Monthly!EL14</f>
        <v>11918</v>
      </c>
      <c r="M142">
        <f>Monthly!EL15</f>
        <v>0</v>
      </c>
      <c r="N142">
        <f>Monthly!EL16</f>
        <v>0</v>
      </c>
    </row>
    <row r="143" spans="1:14">
      <c r="A143">
        <v>2025</v>
      </c>
      <c r="B143" t="s">
        <v>146</v>
      </c>
      <c r="C143">
        <f>Monthly!EM5</f>
        <v>22669</v>
      </c>
      <c r="D143">
        <f>Monthly!EM6</f>
        <v>384</v>
      </c>
      <c r="E143">
        <f>Monthly!EM7</f>
        <v>1665</v>
      </c>
      <c r="F143">
        <f>Monthly!EM8</f>
        <v>4114</v>
      </c>
      <c r="G143">
        <f>Monthly!EM9</f>
        <v>2447</v>
      </c>
      <c r="H143">
        <f>Monthly!EM10</f>
        <v>2809</v>
      </c>
      <c r="I143">
        <f>Monthly!EM11</f>
        <v>89</v>
      </c>
      <c r="J143">
        <f>Monthly!EM12</f>
        <v>1540</v>
      </c>
      <c r="K143">
        <f>Monthly!EM13</f>
        <v>1215</v>
      </c>
      <c r="L143">
        <f>Monthly!EM14</f>
        <v>8406</v>
      </c>
      <c r="M143">
        <f>Monthly!EM15</f>
        <v>0</v>
      </c>
      <c r="N143">
        <f>Monthly!EM16</f>
        <v>0</v>
      </c>
    </row>
    <row r="144" spans="1:14">
      <c r="A144">
        <v>2025</v>
      </c>
      <c r="B144" t="s">
        <v>147</v>
      </c>
      <c r="C144">
        <f>Monthly!EN5</f>
        <v>31377</v>
      </c>
      <c r="D144">
        <f>Monthly!EN6</f>
        <v>457</v>
      </c>
      <c r="E144">
        <f>Monthly!EN7</f>
        <v>1024</v>
      </c>
      <c r="F144">
        <f>Monthly!EN8</f>
        <v>5913</v>
      </c>
      <c r="G144">
        <f>Monthly!EN9</f>
        <v>4603</v>
      </c>
      <c r="H144">
        <f>Monthly!EN10</f>
        <v>3840</v>
      </c>
      <c r="I144">
        <f>Monthly!EN11</f>
        <v>47</v>
      </c>
      <c r="J144">
        <f>Monthly!EN12</f>
        <v>1746</v>
      </c>
      <c r="K144">
        <f>Monthly!EN13</f>
        <v>1755</v>
      </c>
      <c r="L144">
        <f>Monthly!EN14</f>
        <v>11992</v>
      </c>
      <c r="M144">
        <f>Monthly!EN15</f>
        <v>0</v>
      </c>
      <c r="N144">
        <f>Monthly!EN16</f>
        <v>0</v>
      </c>
    </row>
    <row r="145" spans="1:14">
      <c r="A145">
        <v>2025</v>
      </c>
      <c r="B145" t="s">
        <v>148</v>
      </c>
      <c r="C145">
        <f>Monthly!EO5</f>
        <v>52906</v>
      </c>
      <c r="D145">
        <f>Monthly!EO6</f>
        <v>2228</v>
      </c>
      <c r="E145">
        <f>Monthly!EO7</f>
        <v>4570</v>
      </c>
      <c r="F145">
        <f>Monthly!EO8</f>
        <v>10840</v>
      </c>
      <c r="G145">
        <f>Monthly!EO9</f>
        <v>8305</v>
      </c>
      <c r="H145">
        <f>Monthly!EO10</f>
        <v>6985</v>
      </c>
      <c r="I145">
        <f>Monthly!EO11</f>
        <v>62</v>
      </c>
      <c r="J145">
        <f>Monthly!EO12</f>
        <v>2695</v>
      </c>
      <c r="K145">
        <f>Monthly!EO13</f>
        <v>3306</v>
      </c>
      <c r="L145">
        <f>Monthly!EO14</f>
        <v>13915</v>
      </c>
      <c r="M145">
        <f>Monthly!EO15</f>
        <v>0</v>
      </c>
      <c r="N145">
        <f>Monthly!EO16</f>
        <v>0</v>
      </c>
    </row>
    <row r="146" spans="1:14">
      <c r="A146">
        <v>2025</v>
      </c>
      <c r="B146" t="s">
        <v>149</v>
      </c>
      <c r="C146">
        <f>Monthly!EP5</f>
        <v>51191</v>
      </c>
      <c r="D146">
        <f>Monthly!EP6</f>
        <v>4275</v>
      </c>
      <c r="E146">
        <f>Monthly!EP7</f>
        <v>3296</v>
      </c>
      <c r="F146">
        <f>Monthly!EP8</f>
        <v>8692</v>
      </c>
      <c r="G146">
        <f>Monthly!EP9</f>
        <v>5971</v>
      </c>
      <c r="H146">
        <f>Monthly!EP10</f>
        <v>9498</v>
      </c>
      <c r="I146">
        <f>Monthly!EP11</f>
        <v>206</v>
      </c>
      <c r="J146">
        <f>Monthly!EP12</f>
        <v>1541</v>
      </c>
      <c r="K146">
        <f>Monthly!EP13</f>
        <v>2745</v>
      </c>
      <c r="L146">
        <f>Monthly!EP14</f>
        <v>14967</v>
      </c>
      <c r="M146">
        <f>Monthly!EP15</f>
        <v>0</v>
      </c>
      <c r="N146">
        <f>Monthly!EP16</f>
        <v>0</v>
      </c>
    </row>
    <row r="147" spans="1:14">
      <c r="A147">
        <v>2026</v>
      </c>
      <c r="B147" t="s">
        <v>138</v>
      </c>
      <c r="C147">
        <f>Monthly!EQ5</f>
        <v>31172</v>
      </c>
      <c r="D147">
        <f>Monthly!EQ6</f>
        <v>680</v>
      </c>
      <c r="E147">
        <f>Monthly!EQ7</f>
        <v>947</v>
      </c>
      <c r="F147">
        <f>Monthly!EQ8</f>
        <v>5014</v>
      </c>
      <c r="G147">
        <f>Monthly!EQ9</f>
        <v>3798</v>
      </c>
      <c r="H147">
        <f>Monthly!EQ10</f>
        <v>4987</v>
      </c>
      <c r="I147">
        <f>Monthly!EQ11</f>
        <v>114</v>
      </c>
      <c r="J147">
        <f>Monthly!EQ12</f>
        <v>1439</v>
      </c>
      <c r="K147">
        <f>Monthly!EQ13</f>
        <v>1120</v>
      </c>
      <c r="L147">
        <f>Monthly!EQ14</f>
        <v>13073</v>
      </c>
      <c r="M147">
        <f>Monthly!EQ15</f>
        <v>0</v>
      </c>
      <c r="N147">
        <f>Monthly!EQ16</f>
        <v>0</v>
      </c>
    </row>
    <row r="148" spans="1:14">
      <c r="A148">
        <v>2026</v>
      </c>
      <c r="B148" t="s">
        <v>139</v>
      </c>
      <c r="C148">
        <f>Monthly!ER5</f>
        <v>33187</v>
      </c>
      <c r="D148">
        <f>Monthly!ER6</f>
        <v>493</v>
      </c>
      <c r="E148">
        <f>Monthly!ER7</f>
        <v>1185</v>
      </c>
      <c r="F148">
        <f>Monthly!ER8</f>
        <v>6680</v>
      </c>
      <c r="G148">
        <f>Monthly!ER9</f>
        <v>4454</v>
      </c>
      <c r="H148">
        <f>Monthly!ER10</f>
        <v>4854</v>
      </c>
      <c r="I148">
        <f>Monthly!ER11</f>
        <v>63</v>
      </c>
      <c r="J148">
        <f>Monthly!ER12</f>
        <v>1333</v>
      </c>
      <c r="K148">
        <f>Monthly!ER13</f>
        <v>1183</v>
      </c>
      <c r="L148">
        <f>Monthly!ER14</f>
        <v>12942</v>
      </c>
      <c r="M148">
        <f>Monthly!ER15</f>
        <v>0</v>
      </c>
      <c r="N148">
        <f>Monthly!ER16</f>
        <v>0</v>
      </c>
    </row>
    <row r="149" spans="1:14">
      <c r="A149">
        <v>2026</v>
      </c>
      <c r="B149" t="s">
        <v>140</v>
      </c>
      <c r="C149">
        <f>Monthly!ES5</f>
        <v>33038</v>
      </c>
      <c r="D149">
        <f>Monthly!ES6</f>
        <v>392</v>
      </c>
      <c r="E149">
        <f>Monthly!ES7</f>
        <v>1323</v>
      </c>
      <c r="F149">
        <f>Monthly!ES8</f>
        <v>6137</v>
      </c>
      <c r="G149">
        <f>Monthly!ES9</f>
        <v>3353</v>
      </c>
      <c r="H149">
        <f>Monthly!ES10</f>
        <v>4019</v>
      </c>
      <c r="I149">
        <f>Monthly!ES11</f>
        <v>50</v>
      </c>
      <c r="J149">
        <f>Monthly!ES12</f>
        <v>2031</v>
      </c>
      <c r="K149">
        <f>Monthly!ES13</f>
        <v>1394</v>
      </c>
      <c r="L149">
        <f>Monthly!ES14</f>
        <v>14339</v>
      </c>
      <c r="M149">
        <f>Monthly!ES15</f>
        <v>0</v>
      </c>
      <c r="N149">
        <f>Monthly!ES16</f>
        <v>0</v>
      </c>
    </row>
    <row r="150" spans="1:14">
      <c r="A150">
        <v>2026</v>
      </c>
      <c r="B150" t="s">
        <v>141</v>
      </c>
      <c r="C150">
        <f>Monthly!ET5</f>
        <v>27269</v>
      </c>
      <c r="D150">
        <f>Monthly!ET6</f>
        <v>384</v>
      </c>
      <c r="E150">
        <f>Monthly!ET7</f>
        <v>948</v>
      </c>
      <c r="F150">
        <f>Monthly!ET8</f>
        <v>4457</v>
      </c>
      <c r="G150">
        <f>Monthly!ET9</f>
        <v>3489</v>
      </c>
      <c r="H150">
        <f>Monthly!ET10</f>
        <v>3570</v>
      </c>
      <c r="I150">
        <f>Monthly!ET11</f>
        <v>24</v>
      </c>
      <c r="J150">
        <f>Monthly!ET12</f>
        <v>1203</v>
      </c>
      <c r="K150">
        <f>Monthly!ET13</f>
        <v>1099</v>
      </c>
      <c r="L150">
        <f>Monthly!ET14</f>
        <v>12095</v>
      </c>
      <c r="M150">
        <f>Monthly!ET15</f>
        <v>0</v>
      </c>
      <c r="N150">
        <f>Monthly!ET16</f>
        <v>0</v>
      </c>
    </row>
    <row r="151" spans="1:14">
      <c r="A151">
        <v>2026</v>
      </c>
      <c r="B151" t="s">
        <v>142</v>
      </c>
      <c r="C151">
        <f>Monthly!EU5</f>
        <v>25546</v>
      </c>
      <c r="D151">
        <f>Monthly!EU6</f>
        <v>422</v>
      </c>
      <c r="E151">
        <f>Monthly!EU7</f>
        <v>776</v>
      </c>
      <c r="F151">
        <f>Monthly!EU8</f>
        <v>3759</v>
      </c>
      <c r="G151">
        <f>Monthly!EU9</f>
        <v>2890</v>
      </c>
      <c r="H151">
        <f>Monthly!EU10</f>
        <v>2992</v>
      </c>
      <c r="I151">
        <f>Monthly!EU11</f>
        <v>47</v>
      </c>
      <c r="J151">
        <f>Monthly!EU12</f>
        <v>1437</v>
      </c>
      <c r="K151">
        <f>Monthly!EU13</f>
        <v>1023</v>
      </c>
      <c r="L151">
        <f>Monthly!EU14</f>
        <v>12200</v>
      </c>
      <c r="M151">
        <f>Monthly!EU15</f>
        <v>0</v>
      </c>
      <c r="N151">
        <f>Monthly!EU16</f>
        <v>0</v>
      </c>
    </row>
    <row r="152" spans="1:14">
      <c r="A152">
        <v>2026</v>
      </c>
      <c r="B152" t="s">
        <v>143</v>
      </c>
      <c r="C152">
        <f>Monthly!EV5</f>
        <v>26297</v>
      </c>
      <c r="D152">
        <f>Monthly!EV6</f>
        <v>424</v>
      </c>
      <c r="E152">
        <f>Monthly!EV7</f>
        <v>1226</v>
      </c>
      <c r="F152">
        <f>Monthly!EV8</f>
        <v>4354</v>
      </c>
      <c r="G152">
        <f>Monthly!EV9</f>
        <v>3198</v>
      </c>
      <c r="H152">
        <f>Monthly!EV10</f>
        <v>4517</v>
      </c>
      <c r="I152">
        <f>Monthly!EV11</f>
        <v>58</v>
      </c>
      <c r="J152">
        <f>Monthly!EV12</f>
        <v>1280</v>
      </c>
      <c r="K152">
        <f>Monthly!EV13</f>
        <v>1011</v>
      </c>
      <c r="L152">
        <f>Monthly!EV14</f>
        <v>10229</v>
      </c>
      <c r="M152">
        <f>Monthly!EV15</f>
        <v>0</v>
      </c>
      <c r="N152">
        <f>Monthly!EV16</f>
        <v>0</v>
      </c>
    </row>
    <row r="153" spans="1:14">
      <c r="A153">
        <v>2026</v>
      </c>
      <c r="B153" t="s">
        <v>144</v>
      </c>
      <c r="C153">
        <f>Monthly!EW5</f>
        <v>23640</v>
      </c>
      <c r="D153">
        <f>Monthly!EW6</f>
        <v>328</v>
      </c>
      <c r="E153">
        <f>Monthly!EW7</f>
        <v>848</v>
      </c>
      <c r="F153">
        <f>Monthly!EW8</f>
        <v>4906</v>
      </c>
      <c r="G153">
        <f>Monthly!EW9</f>
        <v>3350</v>
      </c>
      <c r="H153">
        <f>Monthly!EW10</f>
        <v>3110</v>
      </c>
      <c r="I153">
        <f>Monthly!EW11</f>
        <v>41</v>
      </c>
      <c r="J153">
        <f>Monthly!EW12</f>
        <v>974</v>
      </c>
      <c r="K153">
        <f>Monthly!EW13</f>
        <v>1251</v>
      </c>
      <c r="L153">
        <f>Monthly!EW14</f>
        <v>8832</v>
      </c>
      <c r="M153">
        <f>Monthly!EW15</f>
        <v>0</v>
      </c>
      <c r="N153">
        <f>Monthly!EW16</f>
        <v>0</v>
      </c>
    </row>
    <row r="154" spans="1:14">
      <c r="A154">
        <v>2026</v>
      </c>
      <c r="B154" t="s">
        <v>145</v>
      </c>
      <c r="C154">
        <f>Monthly!EX5</f>
        <v>18828</v>
      </c>
      <c r="D154">
        <f>Monthly!EX6</f>
        <v>349</v>
      </c>
      <c r="E154">
        <f>Monthly!EX7</f>
        <v>732</v>
      </c>
      <c r="F154">
        <f>Monthly!EX8</f>
        <v>3324</v>
      </c>
      <c r="G154">
        <f>Monthly!EX9</f>
        <v>2197</v>
      </c>
      <c r="H154">
        <f>Monthly!EX10</f>
        <v>2733</v>
      </c>
      <c r="I154">
        <f>Monthly!EX11</f>
        <v>22</v>
      </c>
      <c r="J154">
        <f>Monthly!EX12</f>
        <v>826</v>
      </c>
      <c r="K154">
        <f>Monthly!EX13</f>
        <v>848</v>
      </c>
      <c r="L154">
        <f>Monthly!EX14</f>
        <v>7797</v>
      </c>
      <c r="M154">
        <f>Monthly!EX15</f>
        <v>0</v>
      </c>
      <c r="N154">
        <f>Monthly!EX16</f>
        <v>0</v>
      </c>
    </row>
    <row r="155" spans="1:14">
      <c r="A155">
        <v>2026</v>
      </c>
      <c r="B155" t="s">
        <v>146</v>
      </c>
      <c r="C155">
        <f>Monthly!EY5</f>
        <v>0</v>
      </c>
      <c r="D155">
        <f>Monthly!EY6</f>
        <v>0</v>
      </c>
      <c r="E155">
        <f>Monthly!EY7</f>
        <v>0</v>
      </c>
      <c r="F155">
        <f>Monthly!EY8</f>
        <v>0</v>
      </c>
      <c r="G155">
        <f>Monthly!EY9</f>
        <v>0</v>
      </c>
      <c r="H155">
        <f>Monthly!EY10</f>
        <v>0</v>
      </c>
      <c r="I155">
        <f>Monthly!EY11</f>
        <v>0</v>
      </c>
      <c r="J155">
        <f>Monthly!EY12</f>
        <v>0</v>
      </c>
      <c r="K155">
        <f>Monthly!EY13</f>
        <v>0</v>
      </c>
      <c r="L155">
        <f>Monthly!EY14</f>
        <v>0</v>
      </c>
      <c r="M155">
        <f>Monthly!EY15</f>
        <v>0</v>
      </c>
      <c r="N155">
        <f>Monthly!EY16</f>
        <v>0</v>
      </c>
    </row>
    <row r="156" spans="1:14">
      <c r="A156">
        <v>2026</v>
      </c>
      <c r="B156" t="s">
        <v>147</v>
      </c>
      <c r="C156">
        <f>Monthly!EZ5</f>
        <v>0</v>
      </c>
      <c r="D156">
        <f>Monthly!EZ6</f>
        <v>0</v>
      </c>
      <c r="E156">
        <f>Monthly!EZ7</f>
        <v>0</v>
      </c>
      <c r="F156">
        <f>Monthly!EZ8</f>
        <v>0</v>
      </c>
      <c r="G156">
        <f>Monthly!EZ9</f>
        <v>0</v>
      </c>
      <c r="H156">
        <f>Monthly!EZ10</f>
        <v>0</v>
      </c>
      <c r="I156">
        <f>Monthly!EZ11</f>
        <v>0</v>
      </c>
      <c r="J156">
        <f>Monthly!EZ12</f>
        <v>0</v>
      </c>
      <c r="K156">
        <f>Monthly!EZ13</f>
        <v>0</v>
      </c>
      <c r="L156">
        <f>Monthly!EZ14</f>
        <v>0</v>
      </c>
      <c r="M156">
        <f>Monthly!EZ15</f>
        <v>0</v>
      </c>
      <c r="N156">
        <f>Monthly!EZ16</f>
        <v>0</v>
      </c>
    </row>
    <row r="157" spans="1:14">
      <c r="A157">
        <v>2026</v>
      </c>
      <c r="B157" t="s">
        <v>148</v>
      </c>
      <c r="C157">
        <f>Monthly!FA5</f>
        <v>0</v>
      </c>
      <c r="D157">
        <f>Monthly!FA6</f>
        <v>0</v>
      </c>
      <c r="E157">
        <f>Monthly!FA7</f>
        <v>0</v>
      </c>
      <c r="F157">
        <f>Monthly!FA8</f>
        <v>0</v>
      </c>
      <c r="G157">
        <f>Monthly!FA9</f>
        <v>0</v>
      </c>
      <c r="H157">
        <f>Monthly!FA10</f>
        <v>0</v>
      </c>
      <c r="I157">
        <f>Monthly!FA11</f>
        <v>0</v>
      </c>
      <c r="J157">
        <f>Monthly!FA12</f>
        <v>0</v>
      </c>
      <c r="K157">
        <f>Monthly!FA13</f>
        <v>0</v>
      </c>
      <c r="L157">
        <f>Monthly!FA14</f>
        <v>0</v>
      </c>
      <c r="M157">
        <f>Monthly!FA15</f>
        <v>0</v>
      </c>
      <c r="N157">
        <f>Monthly!FA16</f>
        <v>0</v>
      </c>
    </row>
    <row r="158" spans="1:14">
      <c r="A158">
        <v>2026</v>
      </c>
      <c r="B158" t="s">
        <v>149</v>
      </c>
      <c r="C158">
        <f>Monthly!FB5</f>
        <v>0</v>
      </c>
      <c r="D158">
        <f>Monthly!FB6</f>
        <v>0</v>
      </c>
      <c r="E158">
        <f>Monthly!FB7</f>
        <v>0</v>
      </c>
      <c r="F158">
        <f>Monthly!FB8</f>
        <v>0</v>
      </c>
      <c r="G158">
        <f>Monthly!FB9</f>
        <v>0</v>
      </c>
      <c r="H158">
        <f>Monthly!FB10</f>
        <v>0</v>
      </c>
      <c r="I158">
        <f>Monthly!FB11</f>
        <v>0</v>
      </c>
      <c r="J158">
        <f>Monthly!FB12</f>
        <v>0</v>
      </c>
      <c r="K158">
        <f>Monthly!FB13</f>
        <v>0</v>
      </c>
      <c r="L158">
        <f>Monthly!FB14</f>
        <v>0</v>
      </c>
      <c r="M158">
        <f>Monthly!FB15</f>
        <v>0</v>
      </c>
      <c r="N158">
        <f>Monthly!FB16</f>
        <v>0</v>
      </c>
    </row>
  </sheetData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79A4-66E8-420B-A37E-F103ED172D10}">
  <dimension ref="A1:D16"/>
  <sheetViews>
    <sheetView workbookViewId="0">
      <selection activeCell="B3" sqref="B3:D3"/>
    </sheetView>
  </sheetViews>
  <sheetFormatPr defaultRowHeight="15"/>
  <cols>
    <col min="2" max="2" width="8.28515625" bestFit="1" customWidth="1"/>
    <col min="3" max="3" width="9.85546875" bestFit="1" customWidth="1"/>
    <col min="4" max="4" width="30.85546875" customWidth="1"/>
  </cols>
  <sheetData>
    <row r="1" spans="1:4">
      <c r="A1" t="s">
        <v>129</v>
      </c>
    </row>
    <row r="2" spans="1:4" ht="18.75" customHeight="1">
      <c r="A2" s="22" t="s">
        <v>150</v>
      </c>
      <c r="B2" s="22" t="s">
        <v>151</v>
      </c>
      <c r="C2" s="22" t="s">
        <v>152</v>
      </c>
      <c r="D2" s="22" t="s">
        <v>153</v>
      </c>
    </row>
    <row r="3" spans="1:4" ht="18.75" customHeight="1">
      <c r="A3" s="23">
        <v>1</v>
      </c>
      <c r="B3" s="24" t="s">
        <v>137</v>
      </c>
      <c r="C3" s="24" t="s">
        <v>154</v>
      </c>
      <c r="D3" s="24" t="s">
        <v>156</v>
      </c>
    </row>
    <row r="4" spans="1:4" ht="18.75" customHeight="1">
      <c r="A4" s="23">
        <v>2</v>
      </c>
      <c r="B4" s="24" t="s">
        <v>136</v>
      </c>
      <c r="C4" s="24" t="s">
        <v>154</v>
      </c>
      <c r="D4" s="24" t="s">
        <v>155</v>
      </c>
    </row>
    <row r="5" spans="1:4" ht="18.75" customHeight="1">
      <c r="A5" s="23">
        <v>3</v>
      </c>
      <c r="B5" s="25">
        <v>1</v>
      </c>
      <c r="C5" s="24" t="s">
        <v>157</v>
      </c>
      <c r="D5" s="26" t="s">
        <v>130</v>
      </c>
    </row>
    <row r="6" spans="1:4" ht="18.75" customHeight="1">
      <c r="A6" s="23">
        <v>4</v>
      </c>
      <c r="B6" s="25">
        <v>2</v>
      </c>
      <c r="C6" s="24" t="s">
        <v>157</v>
      </c>
      <c r="D6" s="26" t="s">
        <v>131</v>
      </c>
    </row>
    <row r="7" spans="1:4" ht="18.75" customHeight="1">
      <c r="A7" s="23">
        <v>5</v>
      </c>
      <c r="B7" s="25">
        <v>3</v>
      </c>
      <c r="C7" s="24" t="s">
        <v>157</v>
      </c>
      <c r="D7" s="26" t="s">
        <v>3</v>
      </c>
    </row>
    <row r="8" spans="1:4" ht="18.75" customHeight="1">
      <c r="A8" s="23">
        <v>6</v>
      </c>
      <c r="B8" s="25">
        <v>4</v>
      </c>
      <c r="C8" s="24" t="s">
        <v>157</v>
      </c>
      <c r="D8" s="26" t="s">
        <v>4</v>
      </c>
    </row>
    <row r="9" spans="1:4" ht="18.75" customHeight="1">
      <c r="A9" s="23">
        <v>7</v>
      </c>
      <c r="B9" s="25">
        <v>5</v>
      </c>
      <c r="C9" s="24" t="s">
        <v>157</v>
      </c>
      <c r="D9" s="26" t="s">
        <v>5</v>
      </c>
    </row>
    <row r="10" spans="1:4" ht="18.75" customHeight="1">
      <c r="A10" s="23">
        <v>8</v>
      </c>
      <c r="B10" s="25">
        <v>6</v>
      </c>
      <c r="C10" s="24" t="s">
        <v>157</v>
      </c>
      <c r="D10" s="26" t="s">
        <v>132</v>
      </c>
    </row>
    <row r="11" spans="1:4" ht="18.75" customHeight="1">
      <c r="A11" s="23">
        <v>9</v>
      </c>
      <c r="B11" s="25">
        <v>7</v>
      </c>
      <c r="C11" s="24" t="s">
        <v>157</v>
      </c>
      <c r="D11" s="26" t="s">
        <v>133</v>
      </c>
    </row>
    <row r="12" spans="1:4" ht="18.75" customHeight="1">
      <c r="A12" s="23">
        <v>10</v>
      </c>
      <c r="B12" s="25">
        <v>8</v>
      </c>
      <c r="C12" s="24" t="s">
        <v>157</v>
      </c>
      <c r="D12" s="27" t="s">
        <v>134</v>
      </c>
    </row>
    <row r="13" spans="1:4" ht="18.75" customHeight="1">
      <c r="A13" s="23">
        <v>11</v>
      </c>
      <c r="B13" s="25">
        <v>9</v>
      </c>
      <c r="C13" s="24" t="s">
        <v>157</v>
      </c>
      <c r="D13" s="26" t="s">
        <v>9</v>
      </c>
    </row>
    <row r="14" spans="1:4" ht="18.75" customHeight="1">
      <c r="A14" s="23">
        <v>12</v>
      </c>
      <c r="B14" s="25" t="s">
        <v>43</v>
      </c>
      <c r="C14" s="24" t="s">
        <v>157</v>
      </c>
      <c r="D14" s="26" t="s">
        <v>10</v>
      </c>
    </row>
    <row r="15" spans="1:4" ht="18.75" customHeight="1">
      <c r="A15" s="23">
        <v>13</v>
      </c>
      <c r="B15" s="25" t="s">
        <v>13</v>
      </c>
      <c r="C15" s="24" t="s">
        <v>157</v>
      </c>
      <c r="D15" s="26" t="s">
        <v>33</v>
      </c>
    </row>
    <row r="16" spans="1:4" ht="18.75">
      <c r="A16" s="23">
        <v>14</v>
      </c>
      <c r="B16" s="25">
        <v>0</v>
      </c>
      <c r="C16" s="24" t="s">
        <v>157</v>
      </c>
      <c r="D16" s="2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Monthly</vt:lpstr>
      <vt:lpstr>CSV</vt:lpstr>
      <vt:lpstr>Data Dic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DOE</cp:lastModifiedBy>
  <cp:lastPrinted>2026-06-22T08:21:52Z</cp:lastPrinted>
  <dcterms:created xsi:type="dcterms:W3CDTF">2019-01-29T03:17:44Z</dcterms:created>
  <dcterms:modified xsi:type="dcterms:W3CDTF">2026-09-18T06:50:01Z</dcterms:modified>
</cp:coreProperties>
</file>