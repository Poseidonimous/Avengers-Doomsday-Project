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พี่อีฟ\0. งบประมาณปี 2569\4.ข้อมูลในไดร์ฟ\1.จัดหางานในประเทศ\2569\8.ส.ค.69\ที่ถูก ต.4+9+15\"/>
    </mc:Choice>
  </mc:AlternateContent>
  <xr:revisionPtr revIDLastSave="0" documentId="13_ncr:1_{A664C62B-8793-4882-9464-B4D8F3DBC62B}" xr6:coauthVersionLast="47" xr6:coauthVersionMax="47" xr10:uidLastSave="{00000000-0000-0000-0000-000000000000}"/>
  <bookViews>
    <workbookView xWindow="945" yWindow="1140" windowWidth="28800" windowHeight="13470" xr2:uid="{00000000-000D-0000-FFFF-FFFF00000000}"/>
  </bookViews>
  <sheets>
    <sheet name="Monthly" sheetId="1" r:id="rId1"/>
    <sheet name="CSV" sheetId="2" r:id="rId2"/>
    <sheet name="Data D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X5" i="1" l="1"/>
  <c r="EV5" i="1"/>
  <c r="EW5" i="1"/>
  <c r="EV14" i="1"/>
  <c r="EU5" i="1"/>
  <c r="ET5" i="1" l="1"/>
  <c r="ES5" i="1"/>
  <c r="C149" i="2" s="1"/>
  <c r="ER14" i="1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O142" i="2"/>
  <c r="N142" i="2"/>
  <c r="M142" i="2"/>
  <c r="K142" i="2"/>
  <c r="J142" i="2"/>
  <c r="I142" i="2"/>
  <c r="H142" i="2"/>
  <c r="G142" i="2"/>
  <c r="F142" i="2"/>
  <c r="E142" i="2"/>
  <c r="D142" i="2"/>
  <c r="O141" i="2"/>
  <c r="N141" i="2"/>
  <c r="M141" i="2"/>
  <c r="K141" i="2"/>
  <c r="J141" i="2"/>
  <c r="I141" i="2"/>
  <c r="H141" i="2"/>
  <c r="G141" i="2"/>
  <c r="F141" i="2"/>
  <c r="E141" i="2"/>
  <c r="D141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ER5" i="1"/>
  <c r="EQ5" i="1"/>
  <c r="C147" i="2" s="1"/>
  <c r="EO14" i="1"/>
  <c r="EO5" i="1" s="1"/>
  <c r="C145" i="2" s="1"/>
  <c r="EN14" i="1"/>
  <c r="EN5" i="1" s="1"/>
  <c r="C144" i="2" s="1"/>
  <c r="EM14" i="1"/>
  <c r="EM5" i="1" s="1"/>
  <c r="EL14" i="1"/>
  <c r="EL5" i="1" s="1"/>
  <c r="C142" i="2" s="1"/>
  <c r="EK14" i="1"/>
  <c r="L141" i="2" s="1"/>
  <c r="EP5" i="1"/>
  <c r="C146" i="2" s="1"/>
  <c r="EJ5" i="1"/>
  <c r="EI5" i="1"/>
  <c r="C139" i="2" s="1"/>
  <c r="EH5" i="1"/>
  <c r="C138" i="2" s="1"/>
  <c r="EG5" i="1"/>
  <c r="C137" i="2" s="1"/>
  <c r="EF5" i="1"/>
  <c r="C136" i="2" s="1"/>
  <c r="EE5" i="1"/>
  <c r="O134" i="2"/>
  <c r="N134" i="2"/>
  <c r="M134" i="2"/>
  <c r="L134" i="2"/>
  <c r="K134" i="2"/>
  <c r="J134" i="2"/>
  <c r="I134" i="2"/>
  <c r="H134" i="2"/>
  <c r="G134" i="2"/>
  <c r="F134" i="2"/>
  <c r="E134" i="2"/>
  <c r="D134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O99" i="2"/>
  <c r="N99" i="2"/>
  <c r="M99" i="2"/>
  <c r="L99" i="2"/>
  <c r="K99" i="2"/>
  <c r="J99" i="2"/>
  <c r="I99" i="2"/>
  <c r="H99" i="2"/>
  <c r="G99" i="2"/>
  <c r="F99" i="2"/>
  <c r="E99" i="2"/>
  <c r="D99" i="2"/>
  <c r="O98" i="2"/>
  <c r="N98" i="2"/>
  <c r="M98" i="2"/>
  <c r="L98" i="2"/>
  <c r="K98" i="2"/>
  <c r="J98" i="2"/>
  <c r="I98" i="2"/>
  <c r="H98" i="2"/>
  <c r="G98" i="2"/>
  <c r="F98" i="2"/>
  <c r="E98" i="2"/>
  <c r="D98" i="2"/>
  <c r="O97" i="2"/>
  <c r="N97" i="2"/>
  <c r="M97" i="2"/>
  <c r="L97" i="2"/>
  <c r="K97" i="2"/>
  <c r="J97" i="2"/>
  <c r="I97" i="2"/>
  <c r="H97" i="2"/>
  <c r="G97" i="2"/>
  <c r="F97" i="2"/>
  <c r="E97" i="2"/>
  <c r="D97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O94" i="2"/>
  <c r="N94" i="2"/>
  <c r="M94" i="2"/>
  <c r="L94" i="2"/>
  <c r="K94" i="2"/>
  <c r="J94" i="2"/>
  <c r="I94" i="2"/>
  <c r="H94" i="2"/>
  <c r="G94" i="2"/>
  <c r="F94" i="2"/>
  <c r="E94" i="2"/>
  <c r="D94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N2" i="2"/>
  <c r="L2" i="2"/>
  <c r="K2" i="2"/>
  <c r="J2" i="2"/>
  <c r="I2" i="2"/>
  <c r="H2" i="2"/>
  <c r="G2" i="2"/>
  <c r="F2" i="2"/>
  <c r="E2" i="2"/>
  <c r="D2" i="2"/>
  <c r="A16" i="1"/>
  <c r="A14" i="1"/>
  <c r="A13" i="1"/>
  <c r="A12" i="1"/>
  <c r="A11" i="1"/>
  <c r="A10" i="1"/>
  <c r="A9" i="1"/>
  <c r="A8" i="1"/>
  <c r="A7" i="1"/>
  <c r="A6" i="1"/>
  <c r="ED5" i="1"/>
  <c r="C134" i="2" s="1"/>
  <c r="EC5" i="1"/>
  <c r="C133" i="2" s="1"/>
  <c r="EB5" i="1"/>
  <c r="EA5" i="1"/>
  <c r="C131" i="2" s="1"/>
  <c r="DZ5" i="1"/>
  <c r="C130" i="2" s="1"/>
  <c r="DY5" i="1"/>
  <c r="C129" i="2" s="1"/>
  <c r="DX5" i="1"/>
  <c r="C128" i="2" s="1"/>
  <c r="DW5" i="1"/>
  <c r="DV5" i="1"/>
  <c r="C126" i="2" s="1"/>
  <c r="DU5" i="1"/>
  <c r="C125" i="2" s="1"/>
  <c r="DT5" i="1"/>
  <c r="C124" i="2" s="1"/>
  <c r="DS5" i="1"/>
  <c r="C123" i="2" s="1"/>
  <c r="DR5" i="1"/>
  <c r="C122" i="2" s="1"/>
  <c r="DQ5" i="1"/>
  <c r="DP5" i="1"/>
  <c r="C120" i="2" s="1"/>
  <c r="DO5" i="1"/>
  <c r="DN5" i="1"/>
  <c r="C118" i="2" s="1"/>
  <c r="DM5" i="1"/>
  <c r="C117" i="2" s="1"/>
  <c r="DL5" i="1"/>
  <c r="DK5" i="1"/>
  <c r="C115" i="2" s="1"/>
  <c r="DJ5" i="1"/>
  <c r="C114" i="2" s="1"/>
  <c r="DI5" i="1"/>
  <c r="C113" i="2" s="1"/>
  <c r="DH5" i="1"/>
  <c r="DG5" i="1"/>
  <c r="DF5" i="1"/>
  <c r="C110" i="2" s="1"/>
  <c r="DE5" i="1"/>
  <c r="C109" i="2" s="1"/>
  <c r="DD5" i="1"/>
  <c r="C108" i="2" s="1"/>
  <c r="DC5" i="1"/>
  <c r="C107" i="2" s="1"/>
  <c r="DB5" i="1"/>
  <c r="C106" i="2" s="1"/>
  <c r="DA5" i="1"/>
  <c r="CZ5" i="1"/>
  <c r="C104" i="2" s="1"/>
  <c r="CY5" i="1"/>
  <c r="CX5" i="1"/>
  <c r="C102" i="2" s="1"/>
  <c r="CW5" i="1"/>
  <c r="C101" i="2" s="1"/>
  <c r="CV5" i="1"/>
  <c r="CU5" i="1"/>
  <c r="C99" i="2" s="1"/>
  <c r="CT5" i="1"/>
  <c r="C98" i="2" s="1"/>
  <c r="CS5" i="1"/>
  <c r="C97" i="2" s="1"/>
  <c r="CR5" i="1"/>
  <c r="CQ5" i="1"/>
  <c r="CP5" i="1"/>
  <c r="C94" i="2" s="1"/>
  <c r="CO5" i="1"/>
  <c r="C93" i="2" s="1"/>
  <c r="CN5" i="1"/>
  <c r="C92" i="2" s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EK5" i="1" l="1"/>
  <c r="C141" i="2" s="1"/>
  <c r="L142" i="2"/>
</calcChain>
</file>

<file path=xl/sharedStrings.xml><?xml version="1.0" encoding="utf-8"?>
<sst xmlns="http://schemas.openxmlformats.org/spreadsheetml/2006/main" count="372" uniqueCount="205">
  <si>
    <t>ตารางที่ 9 จำนวนผู้บรรจุงานจำแนกตามประเภทอาชีพ</t>
  </si>
  <si>
    <t>หน่วย : คน</t>
  </si>
  <si>
    <t>รหัส</t>
  </si>
  <si>
    <t>ประเภทอาชีพ</t>
  </si>
  <si>
    <t>ม.ค. 2557</t>
  </si>
  <si>
    <t>ก.พ. 2557</t>
  </si>
  <si>
    <t>มี.ค. 2557</t>
  </si>
  <si>
    <t>เม.ย. 2557</t>
  </si>
  <si>
    <t>พ.ค. 2557</t>
  </si>
  <si>
    <t>มิ.ย. 2557</t>
  </si>
  <si>
    <t>ก.ค. 2557</t>
  </si>
  <si>
    <t>ส.ค. 2557</t>
  </si>
  <si>
    <t>ก.ย. 2557</t>
  </si>
  <si>
    <t>ต.ค. 2557</t>
  </si>
  <si>
    <t>พ.ย. 2557</t>
  </si>
  <si>
    <t>ธ.ค. 2557</t>
  </si>
  <si>
    <t>ม.ค. 2558</t>
  </si>
  <si>
    <t>ก.พ. 2558</t>
  </si>
  <si>
    <t>มี.ค. 2558</t>
  </si>
  <si>
    <t>เม.ย. 2558</t>
  </si>
  <si>
    <t>พ.ค. 2558</t>
  </si>
  <si>
    <t>มิ.ย. 2558</t>
  </si>
  <si>
    <t>ก.ค. 2558</t>
  </si>
  <si>
    <t>ส.ค. 2558</t>
  </si>
  <si>
    <t>ก.ย. 2558</t>
  </si>
  <si>
    <t>ต.ค. 2558</t>
  </si>
  <si>
    <t>พ.ย. 2558</t>
  </si>
  <si>
    <t>ธ.ค. 2558</t>
  </si>
  <si>
    <t>ม.ค. 2559</t>
  </si>
  <si>
    <t>ก.พ. 2559</t>
  </si>
  <si>
    <t>มี.ค. 2559</t>
  </si>
  <si>
    <t>เม.ย. 2559</t>
  </si>
  <si>
    <t>พ.ค. 2559</t>
  </si>
  <si>
    <t>มิ.ย. 2559</t>
  </si>
  <si>
    <t>ก.ค. 2559</t>
  </si>
  <si>
    <t>ส.ค. 2559</t>
  </si>
  <si>
    <t>ก.ย. 2559</t>
  </si>
  <si>
    <t>ต.ค. 2559</t>
  </si>
  <si>
    <t>พ.ย. 2559</t>
  </si>
  <si>
    <t>ธ.ค. 2559</t>
  </si>
  <si>
    <t>ม.ค. 2560</t>
  </si>
  <si>
    <t>ก.พ. 2560</t>
  </si>
  <si>
    <t>มี.ค. 2560</t>
  </si>
  <si>
    <t>เม.ย. 2560</t>
  </si>
  <si>
    <t>พ.ค. 2560</t>
  </si>
  <si>
    <t>มิ.ย. 2560</t>
  </si>
  <si>
    <t>ก.ค. 2560</t>
  </si>
  <si>
    <t>ส.ค. 2560</t>
  </si>
  <si>
    <t>ก.ย. 2560</t>
  </si>
  <si>
    <t>ต.ค. 2560</t>
  </si>
  <si>
    <t>พ.ย. 2560</t>
  </si>
  <si>
    <t>ธ.ค. 2560</t>
  </si>
  <si>
    <t>ม.ค. 2561</t>
  </si>
  <si>
    <t>ก.พ. 2561</t>
  </si>
  <si>
    <t>มี.ค. 2561</t>
  </si>
  <si>
    <t>เม.ย. 2561</t>
  </si>
  <si>
    <t>พ.ค. 2561</t>
  </si>
  <si>
    <t>มิ.ย. 2561</t>
  </si>
  <si>
    <t>ก.ค. 2561</t>
  </si>
  <si>
    <t>ส.ค. 2561</t>
  </si>
  <si>
    <t>ก.ย. 2561</t>
  </si>
  <si>
    <t>ต.ค. 2561</t>
  </si>
  <si>
    <t>พ.ย. 2561</t>
  </si>
  <si>
    <t>ธ.ค. 2561</t>
  </si>
  <si>
    <t>ม.ค. 2562</t>
  </si>
  <si>
    <t>ก.พ. 2562</t>
  </si>
  <si>
    <t>มี.ค. 2562</t>
  </si>
  <si>
    <t>เม.ย. 2562</t>
  </si>
  <si>
    <t>พ.ค. 2562</t>
  </si>
  <si>
    <t>มิ.ย. 2562</t>
  </si>
  <si>
    <t>ก.ค. 2562</t>
  </si>
  <si>
    <t>ส.ค. 2562</t>
  </si>
  <si>
    <t>ก.ย. 2562</t>
  </si>
  <si>
    <t>ต.ค. 2562</t>
  </si>
  <si>
    <t>พ.ย. 2562</t>
  </si>
  <si>
    <t>ธ.ค. 2562</t>
  </si>
  <si>
    <t>ม.ค. 2563</t>
  </si>
  <si>
    <t>ก.พ. 2563</t>
  </si>
  <si>
    <t>มี.ค. 2563</t>
  </si>
  <si>
    <t>เม.ย. 2563</t>
  </si>
  <si>
    <t>พ.ค. 2563</t>
  </si>
  <si>
    <t>มิ.ย. 2563</t>
  </si>
  <si>
    <t>ก.ค. 2563</t>
  </si>
  <si>
    <t>ส.ค. 2563</t>
  </si>
  <si>
    <t>ก.ย. 2563</t>
  </si>
  <si>
    <t>ต.ค. 2563</t>
  </si>
  <si>
    <t>พ.ย. 2563</t>
  </si>
  <si>
    <t>ธ.ค.2563</t>
  </si>
  <si>
    <t>ม.ค. 2564</t>
  </si>
  <si>
    <t>ก.พ. 2564</t>
  </si>
  <si>
    <t>มี.ค. 2564</t>
  </si>
  <si>
    <t>เม.ย. 2564</t>
  </si>
  <si>
    <t>พ.ค.2564</t>
  </si>
  <si>
    <t>มิ.ย. 2564</t>
  </si>
  <si>
    <t>ก.ค. 2564</t>
  </si>
  <si>
    <t>ส.ค. 2564</t>
  </si>
  <si>
    <t>ก.ย. 2564</t>
  </si>
  <si>
    <t>ต.ค. 2564</t>
  </si>
  <si>
    <t>พ.ย. 2564</t>
  </si>
  <si>
    <t>ธ.ค.2564</t>
  </si>
  <si>
    <t>ม.ค. 2565</t>
  </si>
  <si>
    <t>ก.พ. 2565</t>
  </si>
  <si>
    <t>มี.ค. 2565</t>
  </si>
  <si>
    <t>เม.ย. 2565</t>
  </si>
  <si>
    <t>พ.ค.2565</t>
  </si>
  <si>
    <t>มิ.ย. 2565</t>
  </si>
  <si>
    <t>ก.ค. 2565</t>
  </si>
  <si>
    <t>ส.ค. 2565</t>
  </si>
  <si>
    <t>ก.ย. 2565</t>
  </si>
  <si>
    <t>ต.ค. 2565</t>
  </si>
  <si>
    <t>พ.ย. 2565</t>
  </si>
  <si>
    <t>ธ.ค.2565</t>
  </si>
  <si>
    <t>ม.ค. 2566</t>
  </si>
  <si>
    <t>ก.พ. 2566</t>
  </si>
  <si>
    <t>มี.ค. 2566</t>
  </si>
  <si>
    <t>เม.ย. 2566</t>
  </si>
  <si>
    <t>พ.ค.2566</t>
  </si>
  <si>
    <t>มิ.ย. 2566</t>
  </si>
  <si>
    <t>ก.ค. 2566</t>
  </si>
  <si>
    <t>ส.ค. 2566</t>
  </si>
  <si>
    <t>ก.ย. 2566</t>
  </si>
  <si>
    <t>ต.ค. 2566</t>
  </si>
  <si>
    <t>พ.ย. 2566</t>
  </si>
  <si>
    <t>ธ.ค.2566</t>
  </si>
  <si>
    <t>ม.ค. 2567</t>
  </si>
  <si>
    <t>ก.พ.2567</t>
  </si>
  <si>
    <t>มี.ค. 2567</t>
  </si>
  <si>
    <t>เม.ย. 2567</t>
  </si>
  <si>
    <t>พ.ค. 2567</t>
  </si>
  <si>
    <t>มิ.ย. 2567</t>
  </si>
  <si>
    <t>ก.ค. 2567</t>
  </si>
  <si>
    <t>ส.ค. 2567</t>
  </si>
  <si>
    <t>ก.ย. 2567</t>
  </si>
  <si>
    <t>ต.ค. 2567</t>
  </si>
  <si>
    <t>พ.ย. 2567</t>
  </si>
  <si>
    <t>ธ.ค. 2567</t>
  </si>
  <si>
    <t>รวม</t>
  </si>
  <si>
    <t>ผู้บัญญัติกฎหมาย ข้าราชการระดับอาวุโส, ผู้จัดการ</t>
  </si>
  <si>
    <t>ผู้ประกอบวิชาชีพด้านต่าง ๆ</t>
  </si>
  <si>
    <t>ช่างเทคนิคและผู้ปฏิบัติงานที่เกี่ยวข้อง</t>
  </si>
  <si>
    <t>เสมียน  เจ้าหน้าที่</t>
  </si>
  <si>
    <t>พนักงานบริการ  พนักงานขายในร้านค้าและตลาด</t>
  </si>
  <si>
    <t>ผู้ปฏิบัติงานฝีมือด้านการเกษตรและประมง  (แปรรูปขั้นพื้นฐาน)</t>
  </si>
  <si>
    <t>ผู้ปฏิบัติงานโดยใช้ฝีมือในธุรกิจต่าง ๆ</t>
  </si>
  <si>
    <t>ผู้ปฏิบัติงานในโรงงาน  ผู้ควบคุมเครื่องจักรและผู้ปฏิบัติงานด้านการประกอบ</t>
  </si>
  <si>
    <t>อาชีพงานพื้นฐาน</t>
  </si>
  <si>
    <t>ทหาร</t>
  </si>
  <si>
    <t>ผู้ฝึกงาน</t>
  </si>
  <si>
    <t>X</t>
  </si>
  <si>
    <t>ผู้ปฏิบัติงานซึ่งมิอาจจัดประเภทได้</t>
  </si>
  <si>
    <t>ที่มา  :  กรมการจัดหางาน</t>
  </si>
  <si>
    <t xml:space="preserve">รวบรวมโดย : กองบริหารข้อมูลตลาดแรงงาน </t>
  </si>
  <si>
    <t xml:space="preserve">หมายเหตุ  : 1.  เป็นข้อมูลผู้สมัครงานที่มาใช้บริการจัดหางานกับกรมการจัดหางานเท่านั้น  </t>
  </si>
  <si>
    <t xml:space="preserve">                2.  ข้อมูลจากระบบสารสนเทศการจัดหางานในประเทศ กรมการจัดหางาน</t>
  </si>
  <si>
    <t>จำนวนผู้บรรจุงานจำแนกตามประเภทอาชีพ</t>
  </si>
  <si>
    <t>Year</t>
  </si>
  <si>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</si>
  <si>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</si>
  <si>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</si>
  <si>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</si>
  <si>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</si>
  <si>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</si>
  <si>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</si>
  <si>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</si>
  <si>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</si>
  <si>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</si>
  <si>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</si>
  <si>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</si>
  <si>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</si>
  <si>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</si>
  <si>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ลำดับที่</t>
  </si>
  <si>
    <t>ชื่อคอลัมภ์</t>
  </si>
  <si>
    <t>ชนิดข้อมูล</t>
  </si>
  <si>
    <t>รายละเอียด</t>
  </si>
  <si>
    <t>timestamp</t>
  </si>
  <si>
    <t>ปี ค.ศ.</t>
  </si>
  <si>
    <t>เดือน</t>
  </si>
  <si>
    <t>numeric</t>
  </si>
  <si>
    <t>ผู้ปฏิบัติกฎหมาย ข้าราชการระดับอาวุโส ผู้จัดการ</t>
  </si>
  <si>
    <t xml:space="preserve">ผู้ประกอบวิชาชีพต่าง ๆ </t>
  </si>
  <si>
    <t>ผู้ปฏิบัติงานฝีมือด้านการเกษตร และประมง (แปรรูปขั้นพื้นฐาน)</t>
  </si>
  <si>
    <t xml:space="preserve">ผู้ปฏิบัติงานโดยใช้ฝีมือในธุรกิจต่าง ๆ </t>
  </si>
  <si>
    <t>ผู้ปฏิบัติงานในโรงงาน  ผู้ควบคุมเรื่องจักรและผู้ปฏิบัติงานด้านการประกอบ</t>
  </si>
  <si>
    <t>T</t>
  </si>
  <si>
    <t>ผู้ปฏิบัติงานซึ่งมิอาจจัดประเภท</t>
  </si>
  <si>
    <t>ม.ค. 2568</t>
  </si>
  <si>
    <t>ก.พ.2568</t>
  </si>
  <si>
    <t>มี.ค.2568</t>
  </si>
  <si>
    <t>เม.ย.2568</t>
  </si>
  <si>
    <t>พ.ค.2568</t>
  </si>
  <si>
    <t>มิ.ย.2568</t>
  </si>
  <si>
    <t>ก.ค.2568</t>
  </si>
  <si>
    <t>ส.ค.2568</t>
  </si>
  <si>
    <t>ก.ย.2568</t>
  </si>
  <si>
    <t>ต.ค.2568</t>
  </si>
  <si>
    <t>พ.ย.2568</t>
  </si>
  <si>
    <t>ธ.ค.2568</t>
  </si>
  <si>
    <t>ม.ค.2569</t>
  </si>
  <si>
    <t>ก.พ.2569</t>
  </si>
  <si>
    <t>มี.ค.2569</t>
  </si>
  <si>
    <t>เม.ย.69</t>
  </si>
  <si>
    <t>พ.ค.69</t>
  </si>
  <si>
    <t>มิ.ย.69</t>
  </si>
  <si>
    <t>ก.ค.69</t>
  </si>
  <si>
    <t>ส.ค.69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</si>
</sst>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#,##0;[Red]#,##0"/>
  </numFmts>
  <fonts count="16">
    <font>
      <sz val="11"/>
      <color theme="1"/>
      <name val="Calibri"/>
      <scheme val="minor"/>
    </font>
    <font>
      <sz val="13"/>
      <color theme="1"/>
      <name val="TH Sarabun PSK"/>
    </font>
    <font>
      <sz val="14"/>
      <color theme="1"/>
      <name val="TH Sarabun PSK"/>
    </font>
    <font>
      <b/>
      <sz val="13"/>
      <color theme="1"/>
      <name val="TH Sarabun PSK"/>
    </font>
    <font>
      <sz val="11"/>
      <color theme="1"/>
      <name val="Calibri"/>
      <family val="2"/>
      <scheme val="minor"/>
    </font>
    <font>
      <b/>
      <sz val="14"/>
      <color theme="1"/>
      <name val="Cordia New"/>
      <family val="2"/>
    </font>
    <font>
      <sz val="11"/>
      <color theme="1"/>
      <name val="Calibri"/>
      <family val="2"/>
    </font>
    <font>
      <sz val="12"/>
      <color theme="1"/>
      <name val="TH Sarabun PSK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4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/>
  </cellStyleXfs>
  <cellXfs count="46">
    <xf numFmtId="0" fontId="0" fillId="0" borderId="0" xfId="0"/>
    <xf numFmtId="164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/>
    <xf numFmtId="1" fontId="2" fillId="0" borderId="2" xfId="0" applyNumberFormat="1" applyFont="1" applyBorder="1"/>
    <xf numFmtId="164" fontId="1" fillId="2" borderId="2" xfId="0" applyNumberFormat="1" applyFont="1" applyFill="1" applyBorder="1"/>
    <xf numFmtId="1" fontId="2" fillId="2" borderId="2" xfId="0" applyNumberFormat="1" applyFont="1" applyFill="1" applyBorder="1"/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164" fontId="6" fillId="0" borderId="2" xfId="0" applyNumberFormat="1" applyFont="1" applyBorder="1"/>
    <xf numFmtId="1" fontId="6" fillId="0" borderId="2" xfId="0" applyNumberFormat="1" applyFont="1" applyBorder="1"/>
    <xf numFmtId="49" fontId="6" fillId="0" borderId="2" xfId="0" applyNumberFormat="1" applyFont="1" applyBorder="1"/>
    <xf numFmtId="164" fontId="4" fillId="0" borderId="0" xfId="0" applyNumberFormat="1" applyFont="1"/>
    <xf numFmtId="1" fontId="6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1" fontId="8" fillId="2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/>
    <xf numFmtId="164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/>
    <xf numFmtId="164" fontId="9" fillId="2" borderId="2" xfId="0" applyNumberFormat="1" applyFont="1" applyFill="1" applyBorder="1"/>
    <xf numFmtId="1" fontId="9" fillId="2" borderId="2" xfId="0" applyNumberFormat="1" applyFont="1" applyFill="1" applyBorder="1"/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1" fontId="8" fillId="2" borderId="1" xfId="0" applyNumberFormat="1" applyFont="1" applyFill="1" applyBorder="1" applyAlignment="1">
      <alignment horizontal="center" vertical="center"/>
    </xf>
    <xf numFmtId="0" fontId="10" fillId="0" borderId="3" xfId="0" applyFont="1" applyBorder="1"/>
    <xf numFmtId="0" fontId="9" fillId="0" borderId="0" xfId="0" applyFont="1" applyFill="1"/>
    <xf numFmtId="0" fontId="9" fillId="0" borderId="0" xfId="0" applyFont="1" applyBorder="1"/>
    <xf numFmtId="165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Fill="1" applyBorder="1"/>
  </cellXfs>
  <cellStyles count="2">
    <cellStyle name="Normal" xfId="0" builtinId="0"/>
    <cellStyle name="Normal 5 2" xfId="1" xr:uid="{D586BCD8-C5ED-4236-8A11-3F1758CA9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J1000"/>
  <sheetViews>
    <sheetView tabSelected="1" zoomScale="85" zoomScaleNormal="85" workbookViewId="0">
      <pane xSplit="2" ySplit="4" topLeftCell="ES5" activePane="bottomRight" state="frozen"/>
      <selection pane="topRight" activeCell="C1" sqref="C1"/>
      <selection pane="bottomLeft" activeCell="A5" sqref="A5"/>
      <selection pane="bottomRight" activeCell="EX6" sqref="EX6"/>
    </sheetView>
  </sheetViews>
  <sheetFormatPr defaultColWidth="14.42578125" defaultRowHeight="15" customHeight="1"/>
  <cols>
    <col min="1" max="1" width="4.28515625" style="25" customWidth="1"/>
    <col min="2" max="2" width="51.28515625" style="25" customWidth="1"/>
    <col min="3" max="135" width="11" style="25" customWidth="1"/>
    <col min="136" max="150" width="14.42578125" style="25"/>
    <col min="151" max="151" width="13.85546875" style="25" customWidth="1"/>
    <col min="152" max="16384" width="14.42578125" style="25"/>
  </cols>
  <sheetData>
    <row r="1" spans="1:166" ht="18.75" customHeight="1">
      <c r="A1" s="24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spans="1:166" ht="18.75" customHeight="1">
      <c r="A2" s="24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</row>
    <row r="3" spans="1:166" ht="18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</row>
    <row r="4" spans="1:166" ht="18.75" customHeight="1">
      <c r="A4" s="40" t="s">
        <v>2</v>
      </c>
      <c r="B4" s="27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28" t="s">
        <v>9</v>
      </c>
      <c r="I4" s="28" t="s">
        <v>10</v>
      </c>
      <c r="J4" s="28" t="s">
        <v>11</v>
      </c>
      <c r="K4" s="28" t="s">
        <v>12</v>
      </c>
      <c r="L4" s="28" t="s">
        <v>13</v>
      </c>
      <c r="M4" s="28" t="s">
        <v>14</v>
      </c>
      <c r="N4" s="28" t="s">
        <v>15</v>
      </c>
      <c r="O4" s="28" t="s">
        <v>16</v>
      </c>
      <c r="P4" s="28" t="s">
        <v>17</v>
      </c>
      <c r="Q4" s="28" t="s">
        <v>18</v>
      </c>
      <c r="R4" s="28" t="s">
        <v>19</v>
      </c>
      <c r="S4" s="28" t="s">
        <v>20</v>
      </c>
      <c r="T4" s="28" t="s">
        <v>21</v>
      </c>
      <c r="U4" s="28" t="s">
        <v>22</v>
      </c>
      <c r="V4" s="28" t="s">
        <v>23</v>
      </c>
      <c r="W4" s="28" t="s">
        <v>24</v>
      </c>
      <c r="X4" s="28" t="s">
        <v>25</v>
      </c>
      <c r="Y4" s="28" t="s">
        <v>26</v>
      </c>
      <c r="Z4" s="28" t="s">
        <v>27</v>
      </c>
      <c r="AA4" s="28" t="s">
        <v>28</v>
      </c>
      <c r="AB4" s="28" t="s">
        <v>29</v>
      </c>
      <c r="AC4" s="28" t="s">
        <v>30</v>
      </c>
      <c r="AD4" s="28" t="s">
        <v>31</v>
      </c>
      <c r="AE4" s="28" t="s">
        <v>32</v>
      </c>
      <c r="AF4" s="28" t="s">
        <v>33</v>
      </c>
      <c r="AG4" s="28" t="s">
        <v>34</v>
      </c>
      <c r="AH4" s="28" t="s">
        <v>35</v>
      </c>
      <c r="AI4" s="28" t="s">
        <v>36</v>
      </c>
      <c r="AJ4" s="28" t="s">
        <v>37</v>
      </c>
      <c r="AK4" s="28" t="s">
        <v>38</v>
      </c>
      <c r="AL4" s="28" t="s">
        <v>39</v>
      </c>
      <c r="AM4" s="28" t="s">
        <v>40</v>
      </c>
      <c r="AN4" s="28" t="s">
        <v>41</v>
      </c>
      <c r="AO4" s="28" t="s">
        <v>42</v>
      </c>
      <c r="AP4" s="28" t="s">
        <v>43</v>
      </c>
      <c r="AQ4" s="28" t="s">
        <v>44</v>
      </c>
      <c r="AR4" s="28" t="s">
        <v>45</v>
      </c>
      <c r="AS4" s="28" t="s">
        <v>46</v>
      </c>
      <c r="AT4" s="28" t="s">
        <v>47</v>
      </c>
      <c r="AU4" s="28" t="s">
        <v>48</v>
      </c>
      <c r="AV4" s="28" t="s">
        <v>49</v>
      </c>
      <c r="AW4" s="28" t="s">
        <v>50</v>
      </c>
      <c r="AX4" s="28" t="s">
        <v>51</v>
      </c>
      <c r="AY4" s="28" t="s">
        <v>52</v>
      </c>
      <c r="AZ4" s="28" t="s">
        <v>53</v>
      </c>
      <c r="BA4" s="28" t="s">
        <v>54</v>
      </c>
      <c r="BB4" s="28" t="s">
        <v>55</v>
      </c>
      <c r="BC4" s="28" t="s">
        <v>56</v>
      </c>
      <c r="BD4" s="28" t="s">
        <v>57</v>
      </c>
      <c r="BE4" s="28" t="s">
        <v>58</v>
      </c>
      <c r="BF4" s="28" t="s">
        <v>59</v>
      </c>
      <c r="BG4" s="28" t="s">
        <v>60</v>
      </c>
      <c r="BH4" s="28" t="s">
        <v>61</v>
      </c>
      <c r="BI4" s="28" t="s">
        <v>62</v>
      </c>
      <c r="BJ4" s="28" t="s">
        <v>63</v>
      </c>
      <c r="BK4" s="28" t="s">
        <v>64</v>
      </c>
      <c r="BL4" s="28" t="s">
        <v>65</v>
      </c>
      <c r="BM4" s="28" t="s">
        <v>66</v>
      </c>
      <c r="BN4" s="28" t="s">
        <v>67</v>
      </c>
      <c r="BO4" s="28" t="s">
        <v>68</v>
      </c>
      <c r="BP4" s="28" t="s">
        <v>69</v>
      </c>
      <c r="BQ4" s="28" t="s">
        <v>70</v>
      </c>
      <c r="BR4" s="28" t="s">
        <v>71</v>
      </c>
      <c r="BS4" s="28" t="s">
        <v>72</v>
      </c>
      <c r="BT4" s="28" t="s">
        <v>73</v>
      </c>
      <c r="BU4" s="28" t="s">
        <v>74</v>
      </c>
      <c r="BV4" s="28" t="s">
        <v>75</v>
      </c>
      <c r="BW4" s="28" t="s">
        <v>76</v>
      </c>
      <c r="BX4" s="28" t="s">
        <v>77</v>
      </c>
      <c r="BY4" s="28" t="s">
        <v>78</v>
      </c>
      <c r="BZ4" s="28" t="s">
        <v>79</v>
      </c>
      <c r="CA4" s="28" t="s">
        <v>80</v>
      </c>
      <c r="CB4" s="28" t="s">
        <v>81</v>
      </c>
      <c r="CC4" s="28" t="s">
        <v>82</v>
      </c>
      <c r="CD4" s="28" t="s">
        <v>83</v>
      </c>
      <c r="CE4" s="28" t="s">
        <v>84</v>
      </c>
      <c r="CF4" s="28" t="s">
        <v>85</v>
      </c>
      <c r="CG4" s="28" t="s">
        <v>86</v>
      </c>
      <c r="CH4" s="28" t="s">
        <v>87</v>
      </c>
      <c r="CI4" s="28" t="s">
        <v>88</v>
      </c>
      <c r="CJ4" s="28" t="s">
        <v>89</v>
      </c>
      <c r="CK4" s="28" t="s">
        <v>90</v>
      </c>
      <c r="CL4" s="28" t="s">
        <v>91</v>
      </c>
      <c r="CM4" s="28" t="s">
        <v>92</v>
      </c>
      <c r="CN4" s="28" t="s">
        <v>93</v>
      </c>
      <c r="CO4" s="28" t="s">
        <v>94</v>
      </c>
      <c r="CP4" s="28" t="s">
        <v>95</v>
      </c>
      <c r="CQ4" s="28" t="s">
        <v>96</v>
      </c>
      <c r="CR4" s="28" t="s">
        <v>97</v>
      </c>
      <c r="CS4" s="28" t="s">
        <v>98</v>
      </c>
      <c r="CT4" s="28" t="s">
        <v>99</v>
      </c>
      <c r="CU4" s="28" t="s">
        <v>100</v>
      </c>
      <c r="CV4" s="28" t="s">
        <v>101</v>
      </c>
      <c r="CW4" s="28" t="s">
        <v>102</v>
      </c>
      <c r="CX4" s="28" t="s">
        <v>103</v>
      </c>
      <c r="CY4" s="28" t="s">
        <v>104</v>
      </c>
      <c r="CZ4" s="28" t="s">
        <v>105</v>
      </c>
      <c r="DA4" s="28" t="s">
        <v>106</v>
      </c>
      <c r="DB4" s="28" t="s">
        <v>107</v>
      </c>
      <c r="DC4" s="28" t="s">
        <v>108</v>
      </c>
      <c r="DD4" s="28" t="s">
        <v>109</v>
      </c>
      <c r="DE4" s="28" t="s">
        <v>110</v>
      </c>
      <c r="DF4" s="28" t="s">
        <v>111</v>
      </c>
      <c r="DG4" s="28" t="s">
        <v>112</v>
      </c>
      <c r="DH4" s="28" t="s">
        <v>113</v>
      </c>
      <c r="DI4" s="28" t="s">
        <v>114</v>
      </c>
      <c r="DJ4" s="28" t="s">
        <v>115</v>
      </c>
      <c r="DK4" s="28" t="s">
        <v>116</v>
      </c>
      <c r="DL4" s="28" t="s">
        <v>117</v>
      </c>
      <c r="DM4" s="28" t="s">
        <v>118</v>
      </c>
      <c r="DN4" s="28" t="s">
        <v>119</v>
      </c>
      <c r="DO4" s="28" t="s">
        <v>120</v>
      </c>
      <c r="DP4" s="28" t="s">
        <v>121</v>
      </c>
      <c r="DQ4" s="28" t="s">
        <v>122</v>
      </c>
      <c r="DR4" s="28" t="s">
        <v>123</v>
      </c>
      <c r="DS4" s="28" t="s">
        <v>124</v>
      </c>
      <c r="DT4" s="28" t="s">
        <v>125</v>
      </c>
      <c r="DU4" s="28" t="s">
        <v>126</v>
      </c>
      <c r="DV4" s="28" t="s">
        <v>127</v>
      </c>
      <c r="DW4" s="28" t="s">
        <v>128</v>
      </c>
      <c r="DX4" s="28" t="s">
        <v>129</v>
      </c>
      <c r="DY4" s="28" t="s">
        <v>130</v>
      </c>
      <c r="DZ4" s="28" t="s">
        <v>131</v>
      </c>
      <c r="EA4" s="28" t="s">
        <v>132</v>
      </c>
      <c r="EB4" s="28" t="s">
        <v>133</v>
      </c>
      <c r="EC4" s="28" t="s">
        <v>134</v>
      </c>
      <c r="ED4" s="28" t="s">
        <v>135</v>
      </c>
      <c r="EE4" s="28" t="s">
        <v>185</v>
      </c>
      <c r="EF4" s="28" t="s">
        <v>186</v>
      </c>
      <c r="EG4" s="28" t="s">
        <v>187</v>
      </c>
      <c r="EH4" s="28" t="s">
        <v>188</v>
      </c>
      <c r="EI4" s="28" t="s">
        <v>189</v>
      </c>
      <c r="EJ4" s="28" t="s">
        <v>190</v>
      </c>
      <c r="EK4" s="28" t="s">
        <v>191</v>
      </c>
      <c r="EL4" s="28" t="s">
        <v>192</v>
      </c>
      <c r="EM4" s="28" t="s">
        <v>193</v>
      </c>
      <c r="EN4" s="28" t="s">
        <v>194</v>
      </c>
      <c r="EO4" s="28" t="s">
        <v>195</v>
      </c>
      <c r="EP4" s="28" t="s">
        <v>196</v>
      </c>
      <c r="EQ4" s="28" t="s">
        <v>197</v>
      </c>
      <c r="ER4" s="28" t="s">
        <v>198</v>
      </c>
      <c r="ES4" s="28" t="s">
        <v>199</v>
      </c>
      <c r="ET4" s="28" t="s">
        <v>200</v>
      </c>
      <c r="EU4" s="28" t="s">
        <v>201</v>
      </c>
      <c r="EV4" s="28" t="s">
        <v>202</v>
      </c>
      <c r="EW4" s="28" t="s">
        <v>203</v>
      </c>
      <c r="EX4" s="28" t="s">
        <v>204</v>
      </c>
    </row>
    <row r="5" spans="1:166" ht="18.75" customHeight="1">
      <c r="A5" s="41"/>
      <c r="B5" s="29" t="s">
        <v>136</v>
      </c>
      <c r="C5" s="30">
        <f t="shared" ref="C5:ED5" si="0">SUM(C6:C17)</f>
        <v>22260</v>
      </c>
      <c r="D5" s="30">
        <f t="shared" si="0"/>
        <v>26286</v>
      </c>
      <c r="E5" s="30">
        <f t="shared" si="0"/>
        <v>30806</v>
      </c>
      <c r="F5" s="30">
        <f t="shared" si="0"/>
        <v>33290</v>
      </c>
      <c r="G5" s="30">
        <f t="shared" si="0"/>
        <v>27256</v>
      </c>
      <c r="H5" s="30">
        <f t="shared" si="0"/>
        <v>37833</v>
      </c>
      <c r="I5" s="30">
        <f t="shared" si="0"/>
        <v>35369</v>
      </c>
      <c r="J5" s="30">
        <f t="shared" si="0"/>
        <v>44380</v>
      </c>
      <c r="K5" s="30">
        <f t="shared" si="0"/>
        <v>53144</v>
      </c>
      <c r="L5" s="30">
        <f t="shared" si="0"/>
        <v>23683</v>
      </c>
      <c r="M5" s="30">
        <f t="shared" si="0"/>
        <v>32931</v>
      </c>
      <c r="N5" s="30">
        <f t="shared" si="0"/>
        <v>30083</v>
      </c>
      <c r="O5" s="30">
        <f t="shared" si="0"/>
        <v>29678</v>
      </c>
      <c r="P5" s="30">
        <f t="shared" si="0"/>
        <v>35345</v>
      </c>
      <c r="Q5" s="30">
        <f t="shared" si="0"/>
        <v>33979</v>
      </c>
      <c r="R5" s="30">
        <f t="shared" si="0"/>
        <v>31241</v>
      </c>
      <c r="S5" s="30">
        <f t="shared" si="0"/>
        <v>35352</v>
      </c>
      <c r="T5" s="30">
        <f t="shared" si="0"/>
        <v>45337</v>
      </c>
      <c r="U5" s="30">
        <f t="shared" si="0"/>
        <v>47867</v>
      </c>
      <c r="V5" s="30">
        <f t="shared" si="0"/>
        <v>36649</v>
      </c>
      <c r="W5" s="30">
        <f t="shared" si="0"/>
        <v>35562</v>
      </c>
      <c r="X5" s="30">
        <f t="shared" si="0"/>
        <v>26758</v>
      </c>
      <c r="Y5" s="30">
        <f t="shared" si="0"/>
        <v>35593</v>
      </c>
      <c r="Z5" s="30">
        <f t="shared" si="0"/>
        <v>30451</v>
      </c>
      <c r="AA5" s="30">
        <f t="shared" si="0"/>
        <v>30956</v>
      </c>
      <c r="AB5" s="30">
        <f t="shared" si="0"/>
        <v>30436</v>
      </c>
      <c r="AC5" s="30">
        <f t="shared" si="0"/>
        <v>34836</v>
      </c>
      <c r="AD5" s="30">
        <f t="shared" si="0"/>
        <v>30711</v>
      </c>
      <c r="AE5" s="30">
        <f t="shared" si="0"/>
        <v>33589</v>
      </c>
      <c r="AF5" s="30">
        <f t="shared" si="0"/>
        <v>33546</v>
      </c>
      <c r="AG5" s="30">
        <f t="shared" si="0"/>
        <v>27126</v>
      </c>
      <c r="AH5" s="30">
        <f t="shared" si="0"/>
        <v>26767</v>
      </c>
      <c r="AI5" s="30">
        <f t="shared" si="0"/>
        <v>26515</v>
      </c>
      <c r="AJ5" s="30">
        <f t="shared" si="0"/>
        <v>15902</v>
      </c>
      <c r="AK5" s="30">
        <f t="shared" si="0"/>
        <v>20149</v>
      </c>
      <c r="AL5" s="30">
        <f t="shared" si="0"/>
        <v>18451</v>
      </c>
      <c r="AM5" s="30">
        <f t="shared" si="0"/>
        <v>22327</v>
      </c>
      <c r="AN5" s="30">
        <f t="shared" si="0"/>
        <v>23617</v>
      </c>
      <c r="AO5" s="30">
        <f t="shared" si="0"/>
        <v>26209</v>
      </c>
      <c r="AP5" s="30">
        <f t="shared" si="0"/>
        <v>22778</v>
      </c>
      <c r="AQ5" s="30">
        <f t="shared" si="0"/>
        <v>29670</v>
      </c>
      <c r="AR5" s="30">
        <f t="shared" si="0"/>
        <v>39036</v>
      </c>
      <c r="AS5" s="30">
        <f t="shared" si="0"/>
        <v>34011</v>
      </c>
      <c r="AT5" s="30">
        <f t="shared" si="0"/>
        <v>29117</v>
      </c>
      <c r="AU5" s="30">
        <f t="shared" si="0"/>
        <v>30042</v>
      </c>
      <c r="AV5" s="30">
        <f t="shared" si="0"/>
        <v>16295</v>
      </c>
      <c r="AW5" s="30">
        <f t="shared" si="0"/>
        <v>21079</v>
      </c>
      <c r="AX5" s="30">
        <f t="shared" si="0"/>
        <v>19366</v>
      </c>
      <c r="AY5" s="30">
        <f t="shared" si="0"/>
        <v>24274</v>
      </c>
      <c r="AZ5" s="30">
        <f t="shared" si="0"/>
        <v>24700</v>
      </c>
      <c r="BA5" s="30">
        <f t="shared" si="0"/>
        <v>25344</v>
      </c>
      <c r="BB5" s="30">
        <f t="shared" si="0"/>
        <v>25972</v>
      </c>
      <c r="BC5" s="30">
        <f t="shared" si="0"/>
        <v>28665</v>
      </c>
      <c r="BD5" s="30">
        <f t="shared" si="0"/>
        <v>21972</v>
      </c>
      <c r="BE5" s="30">
        <f t="shared" si="0"/>
        <v>18805</v>
      </c>
      <c r="BF5" s="30">
        <f t="shared" si="0"/>
        <v>20710</v>
      </c>
      <c r="BG5" s="30">
        <f t="shared" si="0"/>
        <v>20762</v>
      </c>
      <c r="BH5" s="30">
        <f t="shared" si="0"/>
        <v>17228</v>
      </c>
      <c r="BI5" s="30">
        <f t="shared" si="0"/>
        <v>18404</v>
      </c>
      <c r="BJ5" s="30">
        <f t="shared" si="0"/>
        <v>19925</v>
      </c>
      <c r="BK5" s="30">
        <f t="shared" si="0"/>
        <v>22699</v>
      </c>
      <c r="BL5" s="30">
        <f t="shared" si="0"/>
        <v>25333</v>
      </c>
      <c r="BM5" s="30">
        <f t="shared" si="0"/>
        <v>31694</v>
      </c>
      <c r="BN5" s="30">
        <f t="shared" si="0"/>
        <v>34557</v>
      </c>
      <c r="BO5" s="30">
        <f t="shared" si="0"/>
        <v>32539</v>
      </c>
      <c r="BP5" s="30">
        <f t="shared" si="0"/>
        <v>24311</v>
      </c>
      <c r="BQ5" s="30">
        <f t="shared" si="0"/>
        <v>24239</v>
      </c>
      <c r="BR5" s="30">
        <f t="shared" si="0"/>
        <v>28188</v>
      </c>
      <c r="BS5" s="30">
        <f t="shared" si="0"/>
        <v>18750</v>
      </c>
      <c r="BT5" s="30">
        <f t="shared" si="0"/>
        <v>16985</v>
      </c>
      <c r="BU5" s="30">
        <f t="shared" si="0"/>
        <v>18824</v>
      </c>
      <c r="BV5" s="30">
        <f t="shared" si="0"/>
        <v>18421</v>
      </c>
      <c r="BW5" s="30">
        <f t="shared" si="0"/>
        <v>18530</v>
      </c>
      <c r="BX5" s="30">
        <f t="shared" si="0"/>
        <v>20787</v>
      </c>
      <c r="BY5" s="30">
        <f t="shared" si="0"/>
        <v>23396</v>
      </c>
      <c r="BZ5" s="30">
        <f t="shared" si="0"/>
        <v>12091</v>
      </c>
      <c r="CA5" s="30">
        <f t="shared" si="0"/>
        <v>17613</v>
      </c>
      <c r="CB5" s="30">
        <f t="shared" si="0"/>
        <v>25174</v>
      </c>
      <c r="CC5" s="30">
        <f t="shared" si="0"/>
        <v>25611</v>
      </c>
      <c r="CD5" s="30">
        <f t="shared" si="0"/>
        <v>27933</v>
      </c>
      <c r="CE5" s="30">
        <f t="shared" si="0"/>
        <v>20258</v>
      </c>
      <c r="CF5" s="30">
        <f t="shared" si="0"/>
        <v>15066</v>
      </c>
      <c r="CG5" s="30">
        <f t="shared" si="0"/>
        <v>38710</v>
      </c>
      <c r="CH5" s="30">
        <f t="shared" si="0"/>
        <v>30829</v>
      </c>
      <c r="CI5" s="30">
        <f t="shared" si="0"/>
        <v>22887</v>
      </c>
      <c r="CJ5" s="30">
        <f t="shared" si="0"/>
        <v>23915</v>
      </c>
      <c r="CK5" s="30">
        <f t="shared" si="0"/>
        <v>20751</v>
      </c>
      <c r="CL5" s="30">
        <f t="shared" si="0"/>
        <v>16992</v>
      </c>
      <c r="CM5" s="30">
        <f t="shared" si="0"/>
        <v>21650</v>
      </c>
      <c r="CN5" s="30">
        <f t="shared" si="0"/>
        <v>25677</v>
      </c>
      <c r="CO5" s="30">
        <f t="shared" si="0"/>
        <v>20940</v>
      </c>
      <c r="CP5" s="30">
        <f t="shared" si="0"/>
        <v>23707</v>
      </c>
      <c r="CQ5" s="30">
        <f t="shared" si="0"/>
        <v>22078</v>
      </c>
      <c r="CR5" s="30">
        <f t="shared" si="0"/>
        <v>9602</v>
      </c>
      <c r="CS5" s="30">
        <f t="shared" si="0"/>
        <v>12895</v>
      </c>
      <c r="CT5" s="30">
        <f t="shared" si="0"/>
        <v>14090</v>
      </c>
      <c r="CU5" s="30">
        <f t="shared" si="0"/>
        <v>14981</v>
      </c>
      <c r="CV5" s="30">
        <f t="shared" si="0"/>
        <v>23768</v>
      </c>
      <c r="CW5" s="30">
        <f t="shared" si="0"/>
        <v>25901</v>
      </c>
      <c r="CX5" s="30">
        <f t="shared" si="0"/>
        <v>22474</v>
      </c>
      <c r="CY5" s="30">
        <f t="shared" si="0"/>
        <v>28387</v>
      </c>
      <c r="CZ5" s="30">
        <f t="shared" si="0"/>
        <v>26710</v>
      </c>
      <c r="DA5" s="30">
        <f t="shared" si="0"/>
        <v>22159</v>
      </c>
      <c r="DB5" s="30">
        <f t="shared" si="0"/>
        <v>24754</v>
      </c>
      <c r="DC5" s="30">
        <f t="shared" si="0"/>
        <v>23343</v>
      </c>
      <c r="DD5" s="30">
        <f t="shared" si="0"/>
        <v>12858</v>
      </c>
      <c r="DE5" s="30">
        <f t="shared" si="0"/>
        <v>18046</v>
      </c>
      <c r="DF5" s="30">
        <f t="shared" si="0"/>
        <v>17764</v>
      </c>
      <c r="DG5" s="30">
        <f t="shared" si="0"/>
        <v>16597</v>
      </c>
      <c r="DH5" s="30">
        <f t="shared" si="0"/>
        <v>18833</v>
      </c>
      <c r="DI5" s="30">
        <f t="shared" si="0"/>
        <v>19189</v>
      </c>
      <c r="DJ5" s="30">
        <f t="shared" si="0"/>
        <v>16806</v>
      </c>
      <c r="DK5" s="30">
        <f t="shared" si="0"/>
        <v>15989</v>
      </c>
      <c r="DL5" s="30">
        <f t="shared" si="0"/>
        <v>16188</v>
      </c>
      <c r="DM5" s="30">
        <f t="shared" si="0"/>
        <v>16679</v>
      </c>
      <c r="DN5" s="30">
        <f t="shared" si="0"/>
        <v>14002</v>
      </c>
      <c r="DO5" s="30">
        <f t="shared" si="0"/>
        <v>11189</v>
      </c>
      <c r="DP5" s="30">
        <f t="shared" si="0"/>
        <v>11998</v>
      </c>
      <c r="DQ5" s="30">
        <f t="shared" si="0"/>
        <v>13849</v>
      </c>
      <c r="DR5" s="30">
        <f t="shared" si="0"/>
        <v>13315</v>
      </c>
      <c r="DS5" s="30">
        <f t="shared" si="0"/>
        <v>15134</v>
      </c>
      <c r="DT5" s="30">
        <f t="shared" si="0"/>
        <v>16508</v>
      </c>
      <c r="DU5" s="30">
        <f t="shared" si="0"/>
        <v>15739</v>
      </c>
      <c r="DV5" s="30">
        <f t="shared" si="0"/>
        <v>15646</v>
      </c>
      <c r="DW5" s="30">
        <f t="shared" si="0"/>
        <v>15665</v>
      </c>
      <c r="DX5" s="30">
        <f t="shared" si="0"/>
        <v>19261</v>
      </c>
      <c r="DY5" s="30">
        <f t="shared" si="0"/>
        <v>18616</v>
      </c>
      <c r="DZ5" s="30">
        <f t="shared" si="0"/>
        <v>16257</v>
      </c>
      <c r="EA5" s="30">
        <f t="shared" si="0"/>
        <v>13786</v>
      </c>
      <c r="EB5" s="30">
        <f t="shared" si="0"/>
        <v>13204</v>
      </c>
      <c r="EC5" s="30">
        <f t="shared" si="0"/>
        <v>16355</v>
      </c>
      <c r="ED5" s="30">
        <f t="shared" si="0"/>
        <v>15936</v>
      </c>
      <c r="EE5" s="30">
        <f t="shared" ref="EE5" si="1">SUM(EE6:EE17)</f>
        <v>14968</v>
      </c>
      <c r="EF5" s="30">
        <f t="shared" ref="EF5:EG5" si="2">SUM(EF6:EF17)</f>
        <v>16479</v>
      </c>
      <c r="EG5" s="30">
        <f t="shared" si="2"/>
        <v>17028</v>
      </c>
      <c r="EH5" s="30">
        <f t="shared" ref="EH5:EI5" si="3">SUM(EH6:EH17)</f>
        <v>16076</v>
      </c>
      <c r="EI5" s="30">
        <f t="shared" si="3"/>
        <v>15981</v>
      </c>
      <c r="EJ5" s="30">
        <f t="shared" ref="EJ5:EK5" si="4">SUM(EJ6:EJ17)</f>
        <v>19060</v>
      </c>
      <c r="EK5" s="30">
        <f t="shared" si="4"/>
        <v>15499</v>
      </c>
      <c r="EL5" s="30">
        <f t="shared" ref="EL5:EM5" si="5">SUM(EL6:EL17)</f>
        <v>12288</v>
      </c>
      <c r="EM5" s="30">
        <f t="shared" si="5"/>
        <v>8974</v>
      </c>
      <c r="EN5" s="30">
        <f t="shared" ref="EN5:EO5" si="6">SUM(EN6:EN17)</f>
        <v>13545</v>
      </c>
      <c r="EO5" s="30">
        <f t="shared" si="6"/>
        <v>16636</v>
      </c>
      <c r="EP5" s="30">
        <f t="shared" ref="EP5:EQ5" si="7">SUM(EP6:EP17)</f>
        <v>18235</v>
      </c>
      <c r="EQ5" s="30">
        <f t="shared" si="7"/>
        <v>15064</v>
      </c>
      <c r="ER5" s="30">
        <f t="shared" ref="ER5:ES5" si="8">SUM(ER6:ER17)</f>
        <v>17935</v>
      </c>
      <c r="ES5" s="30">
        <f t="shared" si="8"/>
        <v>17378</v>
      </c>
      <c r="ET5" s="30">
        <f t="shared" ref="ET5:EW5" si="9">SUM(ET6:ET17)</f>
        <v>16051</v>
      </c>
      <c r="EU5" s="30">
        <f t="shared" si="9"/>
        <v>16225</v>
      </c>
      <c r="EV5" s="30">
        <f t="shared" si="9"/>
        <v>15308</v>
      </c>
      <c r="EW5" s="30">
        <f t="shared" si="9"/>
        <v>12892</v>
      </c>
      <c r="EX5" s="30">
        <f t="shared" ref="EX5" si="10">SUM(EX6:EX17)</f>
        <v>10068</v>
      </c>
    </row>
    <row r="6" spans="1:166" ht="18.75" customHeight="1">
      <c r="A6" s="31" t="str">
        <f>"1"</f>
        <v>1</v>
      </c>
      <c r="B6" s="32" t="s">
        <v>137</v>
      </c>
      <c r="C6" s="33">
        <v>373</v>
      </c>
      <c r="D6" s="33">
        <v>531</v>
      </c>
      <c r="E6" s="33">
        <v>555</v>
      </c>
      <c r="F6" s="33">
        <v>558</v>
      </c>
      <c r="G6" s="33">
        <v>499</v>
      </c>
      <c r="H6" s="33">
        <v>496</v>
      </c>
      <c r="I6" s="33">
        <v>623</v>
      </c>
      <c r="J6" s="33">
        <v>627</v>
      </c>
      <c r="K6" s="33">
        <v>755</v>
      </c>
      <c r="L6" s="33">
        <v>393</v>
      </c>
      <c r="M6" s="33">
        <v>521</v>
      </c>
      <c r="N6" s="33">
        <v>476</v>
      </c>
      <c r="O6" s="33">
        <v>557</v>
      </c>
      <c r="P6" s="33">
        <v>545</v>
      </c>
      <c r="Q6" s="33">
        <v>538</v>
      </c>
      <c r="R6" s="33">
        <v>400</v>
      </c>
      <c r="S6" s="33">
        <v>557</v>
      </c>
      <c r="T6" s="33">
        <v>1007</v>
      </c>
      <c r="U6" s="33">
        <v>770</v>
      </c>
      <c r="V6" s="33">
        <v>532</v>
      </c>
      <c r="W6" s="33">
        <v>559</v>
      </c>
      <c r="X6" s="33">
        <v>691</v>
      </c>
      <c r="Y6" s="33">
        <v>638</v>
      </c>
      <c r="Z6" s="33">
        <v>574</v>
      </c>
      <c r="AA6" s="33">
        <v>644</v>
      </c>
      <c r="AB6" s="33">
        <v>633</v>
      </c>
      <c r="AC6" s="33">
        <v>567</v>
      </c>
      <c r="AD6" s="33">
        <v>642</v>
      </c>
      <c r="AE6" s="33">
        <v>568</v>
      </c>
      <c r="AF6" s="33">
        <v>588</v>
      </c>
      <c r="AG6" s="33">
        <v>566</v>
      </c>
      <c r="AH6" s="33">
        <v>581</v>
      </c>
      <c r="AI6" s="33">
        <v>476</v>
      </c>
      <c r="AJ6" s="33">
        <v>373</v>
      </c>
      <c r="AK6" s="33">
        <v>432</v>
      </c>
      <c r="AL6" s="33">
        <v>302</v>
      </c>
      <c r="AM6" s="33">
        <v>388</v>
      </c>
      <c r="AN6" s="33">
        <v>426</v>
      </c>
      <c r="AO6" s="33">
        <v>524</v>
      </c>
      <c r="AP6" s="33">
        <v>431</v>
      </c>
      <c r="AQ6" s="33">
        <v>499</v>
      </c>
      <c r="AR6" s="33">
        <v>621</v>
      </c>
      <c r="AS6" s="33">
        <v>538</v>
      </c>
      <c r="AT6" s="33">
        <v>568</v>
      </c>
      <c r="AU6" s="33">
        <v>698</v>
      </c>
      <c r="AV6" s="33">
        <v>341</v>
      </c>
      <c r="AW6" s="33">
        <v>519</v>
      </c>
      <c r="AX6" s="33">
        <v>417</v>
      </c>
      <c r="AY6" s="33">
        <v>498</v>
      </c>
      <c r="AZ6" s="33">
        <v>494</v>
      </c>
      <c r="BA6" s="33">
        <v>597</v>
      </c>
      <c r="BB6" s="33">
        <v>499</v>
      </c>
      <c r="BC6" s="33">
        <v>473</v>
      </c>
      <c r="BD6" s="33">
        <v>519</v>
      </c>
      <c r="BE6" s="33">
        <v>384</v>
      </c>
      <c r="BF6" s="33">
        <v>400</v>
      </c>
      <c r="BG6" s="33">
        <v>505</v>
      </c>
      <c r="BH6" s="33">
        <v>499</v>
      </c>
      <c r="BI6" s="33">
        <v>375</v>
      </c>
      <c r="BJ6" s="33">
        <v>353</v>
      </c>
      <c r="BK6" s="33">
        <v>455</v>
      </c>
      <c r="BL6" s="34">
        <v>477</v>
      </c>
      <c r="BM6" s="33">
        <v>507</v>
      </c>
      <c r="BN6" s="33">
        <v>420</v>
      </c>
      <c r="BO6" s="33">
        <v>617</v>
      </c>
      <c r="BP6" s="33">
        <v>502</v>
      </c>
      <c r="BQ6" s="33">
        <v>526</v>
      </c>
      <c r="BR6" s="33">
        <v>653</v>
      </c>
      <c r="BS6" s="33">
        <v>387</v>
      </c>
      <c r="BT6" s="33">
        <v>371</v>
      </c>
      <c r="BU6" s="33">
        <v>373</v>
      </c>
      <c r="BV6" s="33">
        <v>367</v>
      </c>
      <c r="BW6" s="33">
        <v>272</v>
      </c>
      <c r="BX6" s="33">
        <v>491</v>
      </c>
      <c r="BY6" s="33">
        <v>584</v>
      </c>
      <c r="BZ6" s="33">
        <v>740</v>
      </c>
      <c r="CA6" s="33">
        <v>732</v>
      </c>
      <c r="CB6" s="33">
        <v>561</v>
      </c>
      <c r="CC6" s="32">
        <v>643</v>
      </c>
      <c r="CD6" s="32">
        <v>699</v>
      </c>
      <c r="CE6" s="32">
        <v>486</v>
      </c>
      <c r="CF6" s="32">
        <v>344</v>
      </c>
      <c r="CG6" s="32">
        <v>1019</v>
      </c>
      <c r="CH6" s="34">
        <v>874</v>
      </c>
      <c r="CI6" s="35">
        <v>536</v>
      </c>
      <c r="CJ6" s="34">
        <v>841</v>
      </c>
      <c r="CK6" s="34">
        <v>642</v>
      </c>
      <c r="CL6" s="34">
        <v>616</v>
      </c>
      <c r="CM6" s="34">
        <v>637</v>
      </c>
      <c r="CN6" s="34">
        <v>695</v>
      </c>
      <c r="CO6" s="34">
        <v>625</v>
      </c>
      <c r="CP6" s="34">
        <v>699</v>
      </c>
      <c r="CQ6" s="34">
        <v>747</v>
      </c>
      <c r="CR6" s="34">
        <v>279</v>
      </c>
      <c r="CS6" s="34">
        <v>255</v>
      </c>
      <c r="CT6" s="34">
        <v>318</v>
      </c>
      <c r="CU6" s="34">
        <v>352</v>
      </c>
      <c r="CV6" s="34">
        <v>560</v>
      </c>
      <c r="CW6" s="34">
        <v>964</v>
      </c>
      <c r="CX6" s="34">
        <v>548</v>
      </c>
      <c r="CY6" s="34">
        <v>810</v>
      </c>
      <c r="CZ6" s="34">
        <v>825</v>
      </c>
      <c r="DA6" s="34">
        <v>560</v>
      </c>
      <c r="DB6" s="34">
        <v>782</v>
      </c>
      <c r="DC6" s="34">
        <v>721</v>
      </c>
      <c r="DD6" s="34">
        <v>310</v>
      </c>
      <c r="DE6" s="34">
        <v>429</v>
      </c>
      <c r="DF6" s="34">
        <v>400</v>
      </c>
      <c r="DG6" s="34">
        <v>307</v>
      </c>
      <c r="DH6" s="34">
        <v>427</v>
      </c>
      <c r="DI6" s="34">
        <v>316</v>
      </c>
      <c r="DJ6" s="34">
        <v>345</v>
      </c>
      <c r="DK6" s="34">
        <v>368</v>
      </c>
      <c r="DL6" s="34">
        <v>367</v>
      </c>
      <c r="DM6" s="34">
        <v>398</v>
      </c>
      <c r="DN6" s="34">
        <v>441</v>
      </c>
      <c r="DO6" s="34">
        <v>252</v>
      </c>
      <c r="DP6" s="34">
        <v>325</v>
      </c>
      <c r="DQ6" s="34">
        <v>338</v>
      </c>
      <c r="DR6" s="34">
        <v>315</v>
      </c>
      <c r="DS6" s="34">
        <v>389</v>
      </c>
      <c r="DT6" s="34">
        <v>357</v>
      </c>
      <c r="DU6" s="34">
        <v>233</v>
      </c>
      <c r="DV6" s="34">
        <v>205</v>
      </c>
      <c r="DW6" s="34">
        <v>160</v>
      </c>
      <c r="DX6" s="34">
        <v>254</v>
      </c>
      <c r="DY6" s="34">
        <v>201</v>
      </c>
      <c r="DZ6" s="34">
        <v>207</v>
      </c>
      <c r="EA6" s="34">
        <v>126</v>
      </c>
      <c r="EB6" s="34">
        <v>197</v>
      </c>
      <c r="EC6" s="34">
        <v>237</v>
      </c>
      <c r="ED6" s="34">
        <v>241</v>
      </c>
      <c r="EE6" s="34">
        <v>150</v>
      </c>
      <c r="EF6" s="34">
        <v>148</v>
      </c>
      <c r="EG6" s="34">
        <v>171</v>
      </c>
      <c r="EH6" s="34">
        <v>184</v>
      </c>
      <c r="EI6" s="34">
        <v>165</v>
      </c>
      <c r="EJ6" s="34">
        <v>195</v>
      </c>
      <c r="EK6" s="34">
        <v>207</v>
      </c>
      <c r="EL6" s="34">
        <v>144</v>
      </c>
      <c r="EM6" s="34">
        <v>87</v>
      </c>
      <c r="EN6" s="34">
        <v>321</v>
      </c>
      <c r="EO6" s="34">
        <v>219</v>
      </c>
      <c r="EP6" s="34">
        <v>165</v>
      </c>
      <c r="EQ6" s="34">
        <v>126</v>
      </c>
      <c r="ER6" s="34">
        <v>323</v>
      </c>
      <c r="ES6" s="34">
        <v>119</v>
      </c>
      <c r="ET6" s="34">
        <v>177</v>
      </c>
      <c r="EU6" s="34">
        <v>285</v>
      </c>
      <c r="EV6" s="34">
        <v>258</v>
      </c>
      <c r="EW6" s="34">
        <v>157</v>
      </c>
      <c r="EX6" s="34">
        <v>145</v>
      </c>
      <c r="EZ6" s="45"/>
      <c r="FA6" s="45"/>
      <c r="FB6" s="45"/>
      <c r="FC6" s="45"/>
      <c r="FD6" s="45"/>
      <c r="FE6" s="45"/>
      <c r="FF6" s="45"/>
      <c r="FG6" s="45"/>
      <c r="FH6" s="45"/>
      <c r="FI6" s="45"/>
    </row>
    <row r="7" spans="1:166" ht="18.75" customHeight="1">
      <c r="A7" s="31" t="str">
        <f>"2"</f>
        <v>2</v>
      </c>
      <c r="B7" s="32" t="s">
        <v>138</v>
      </c>
      <c r="C7" s="33">
        <v>998</v>
      </c>
      <c r="D7" s="33">
        <v>1191</v>
      </c>
      <c r="E7" s="33">
        <v>1464</v>
      </c>
      <c r="F7" s="33">
        <v>1591</v>
      </c>
      <c r="G7" s="33">
        <v>1222</v>
      </c>
      <c r="H7" s="33">
        <v>1982</v>
      </c>
      <c r="I7" s="33">
        <v>1671</v>
      </c>
      <c r="J7" s="33">
        <v>2005</v>
      </c>
      <c r="K7" s="33">
        <v>2421</v>
      </c>
      <c r="L7" s="33">
        <v>894</v>
      </c>
      <c r="M7" s="33">
        <v>1536</v>
      </c>
      <c r="N7" s="33">
        <v>1148</v>
      </c>
      <c r="O7" s="33">
        <v>1252</v>
      </c>
      <c r="P7" s="33">
        <v>1717</v>
      </c>
      <c r="Q7" s="33">
        <v>1575</v>
      </c>
      <c r="R7" s="33">
        <v>1532</v>
      </c>
      <c r="S7" s="33">
        <v>1971</v>
      </c>
      <c r="T7" s="33">
        <v>2323</v>
      </c>
      <c r="U7" s="33">
        <v>2687</v>
      </c>
      <c r="V7" s="33">
        <v>1764</v>
      </c>
      <c r="W7" s="33">
        <v>1840</v>
      </c>
      <c r="X7" s="33">
        <v>1145</v>
      </c>
      <c r="Y7" s="33">
        <v>1753</v>
      </c>
      <c r="Z7" s="33">
        <v>1318</v>
      </c>
      <c r="AA7" s="33">
        <v>1269</v>
      </c>
      <c r="AB7" s="33">
        <v>1309</v>
      </c>
      <c r="AC7" s="33">
        <v>1400</v>
      </c>
      <c r="AD7" s="33">
        <v>1212</v>
      </c>
      <c r="AE7" s="33">
        <v>1610</v>
      </c>
      <c r="AF7" s="33">
        <v>1797</v>
      </c>
      <c r="AG7" s="33">
        <v>1173</v>
      </c>
      <c r="AH7" s="33">
        <v>1386</v>
      </c>
      <c r="AI7" s="33">
        <v>1018</v>
      </c>
      <c r="AJ7" s="33">
        <v>808</v>
      </c>
      <c r="AK7" s="33">
        <v>824</v>
      </c>
      <c r="AL7" s="33">
        <v>748</v>
      </c>
      <c r="AM7" s="33">
        <v>901</v>
      </c>
      <c r="AN7" s="33">
        <v>1023</v>
      </c>
      <c r="AO7" s="33">
        <v>909</v>
      </c>
      <c r="AP7" s="33">
        <v>738</v>
      </c>
      <c r="AQ7" s="33">
        <v>1130</v>
      </c>
      <c r="AR7" s="33">
        <v>1837</v>
      </c>
      <c r="AS7" s="33">
        <v>1517</v>
      </c>
      <c r="AT7" s="33">
        <v>1626</v>
      </c>
      <c r="AU7" s="33">
        <v>1335</v>
      </c>
      <c r="AV7" s="33">
        <v>690</v>
      </c>
      <c r="AW7" s="33">
        <v>771</v>
      </c>
      <c r="AX7" s="33">
        <v>709</v>
      </c>
      <c r="AY7" s="33">
        <v>953</v>
      </c>
      <c r="AZ7" s="33">
        <v>998</v>
      </c>
      <c r="BA7" s="33">
        <v>1039</v>
      </c>
      <c r="BB7" s="33">
        <v>856</v>
      </c>
      <c r="BC7" s="33">
        <v>1025</v>
      </c>
      <c r="BD7" s="33">
        <v>738</v>
      </c>
      <c r="BE7" s="33">
        <v>769</v>
      </c>
      <c r="BF7" s="33">
        <v>793</v>
      </c>
      <c r="BG7" s="33">
        <v>1018</v>
      </c>
      <c r="BH7" s="33">
        <v>649</v>
      </c>
      <c r="BI7" s="33">
        <v>630</v>
      </c>
      <c r="BJ7" s="33">
        <v>735</v>
      </c>
      <c r="BK7" s="33">
        <v>768</v>
      </c>
      <c r="BL7" s="34">
        <v>871</v>
      </c>
      <c r="BM7" s="33">
        <v>837</v>
      </c>
      <c r="BN7" s="33">
        <v>882</v>
      </c>
      <c r="BO7" s="33">
        <v>1024</v>
      </c>
      <c r="BP7" s="33">
        <v>947</v>
      </c>
      <c r="BQ7" s="33">
        <v>1235</v>
      </c>
      <c r="BR7" s="33">
        <v>1094</v>
      </c>
      <c r="BS7" s="33">
        <v>766</v>
      </c>
      <c r="BT7" s="33">
        <v>813</v>
      </c>
      <c r="BU7" s="33">
        <v>712</v>
      </c>
      <c r="BV7" s="33">
        <v>685</v>
      </c>
      <c r="BW7" s="33">
        <v>1010</v>
      </c>
      <c r="BX7" s="33">
        <v>842</v>
      </c>
      <c r="BY7" s="33">
        <v>779</v>
      </c>
      <c r="BZ7" s="33">
        <v>361</v>
      </c>
      <c r="CA7" s="33">
        <v>450</v>
      </c>
      <c r="CB7" s="33">
        <v>444</v>
      </c>
      <c r="CC7" s="32">
        <v>901</v>
      </c>
      <c r="CD7" s="32">
        <v>679</v>
      </c>
      <c r="CE7" s="32">
        <v>578</v>
      </c>
      <c r="CF7" s="32">
        <v>440</v>
      </c>
      <c r="CG7" s="32">
        <v>1169</v>
      </c>
      <c r="CH7" s="34">
        <v>972</v>
      </c>
      <c r="CI7" s="35">
        <v>646</v>
      </c>
      <c r="CJ7" s="34">
        <v>881</v>
      </c>
      <c r="CK7" s="34">
        <v>731</v>
      </c>
      <c r="CL7" s="34">
        <v>390</v>
      </c>
      <c r="CM7" s="34">
        <v>696</v>
      </c>
      <c r="CN7" s="34">
        <v>782</v>
      </c>
      <c r="CO7" s="34">
        <v>542</v>
      </c>
      <c r="CP7" s="34">
        <v>823</v>
      </c>
      <c r="CQ7" s="34">
        <v>974</v>
      </c>
      <c r="CR7" s="34">
        <v>336</v>
      </c>
      <c r="CS7" s="34">
        <v>330</v>
      </c>
      <c r="CT7" s="34">
        <v>273</v>
      </c>
      <c r="CU7" s="34">
        <v>351</v>
      </c>
      <c r="CV7" s="34">
        <v>606</v>
      </c>
      <c r="CW7" s="34">
        <v>666</v>
      </c>
      <c r="CX7" s="34">
        <v>570</v>
      </c>
      <c r="CY7" s="34">
        <v>612</v>
      </c>
      <c r="CZ7" s="34">
        <v>920</v>
      </c>
      <c r="DA7" s="34">
        <v>509</v>
      </c>
      <c r="DB7" s="34">
        <v>645</v>
      </c>
      <c r="DC7" s="34">
        <v>724</v>
      </c>
      <c r="DD7" s="34">
        <v>385</v>
      </c>
      <c r="DE7" s="34">
        <v>551</v>
      </c>
      <c r="DF7" s="34">
        <v>493</v>
      </c>
      <c r="DG7" s="34">
        <v>390</v>
      </c>
      <c r="DH7" s="34">
        <v>355</v>
      </c>
      <c r="DI7" s="34">
        <v>514</v>
      </c>
      <c r="DJ7" s="34">
        <v>383</v>
      </c>
      <c r="DK7" s="34">
        <v>341</v>
      </c>
      <c r="DL7" s="34">
        <v>465</v>
      </c>
      <c r="DM7" s="34">
        <v>487</v>
      </c>
      <c r="DN7" s="34">
        <v>462</v>
      </c>
      <c r="DO7" s="34">
        <v>442</v>
      </c>
      <c r="DP7" s="34">
        <v>330</v>
      </c>
      <c r="DQ7" s="34">
        <v>331</v>
      </c>
      <c r="DR7" s="34">
        <v>245</v>
      </c>
      <c r="DS7" s="34">
        <v>296</v>
      </c>
      <c r="DT7" s="34">
        <v>411</v>
      </c>
      <c r="DU7" s="34">
        <v>338</v>
      </c>
      <c r="DV7" s="34">
        <v>449</v>
      </c>
      <c r="DW7" s="34">
        <v>387</v>
      </c>
      <c r="DX7" s="34">
        <v>445</v>
      </c>
      <c r="DY7" s="34">
        <v>479</v>
      </c>
      <c r="DZ7" s="34">
        <v>426</v>
      </c>
      <c r="EA7" s="34">
        <v>433</v>
      </c>
      <c r="EB7" s="34">
        <v>275</v>
      </c>
      <c r="EC7" s="34">
        <v>479</v>
      </c>
      <c r="ED7" s="34">
        <v>408</v>
      </c>
      <c r="EE7" s="34">
        <v>378</v>
      </c>
      <c r="EF7" s="34">
        <v>424</v>
      </c>
      <c r="EG7" s="34">
        <v>436</v>
      </c>
      <c r="EH7" s="34">
        <v>495</v>
      </c>
      <c r="EI7" s="34">
        <v>481</v>
      </c>
      <c r="EJ7" s="34">
        <v>519</v>
      </c>
      <c r="EK7" s="34">
        <v>471</v>
      </c>
      <c r="EL7" s="34">
        <v>333</v>
      </c>
      <c r="EM7" s="34">
        <v>256</v>
      </c>
      <c r="EN7" s="34">
        <v>297</v>
      </c>
      <c r="EO7" s="34">
        <v>403</v>
      </c>
      <c r="EP7" s="34">
        <v>383</v>
      </c>
      <c r="EQ7" s="34">
        <v>288</v>
      </c>
      <c r="ER7" s="34">
        <v>507</v>
      </c>
      <c r="ES7" s="34">
        <v>616</v>
      </c>
      <c r="ET7" s="34">
        <v>372</v>
      </c>
      <c r="EU7" s="34">
        <v>444</v>
      </c>
      <c r="EV7" s="34">
        <v>453</v>
      </c>
      <c r="EW7" s="34">
        <v>368</v>
      </c>
      <c r="EX7" s="34">
        <v>223</v>
      </c>
      <c r="EZ7" s="44"/>
      <c r="FA7" s="44"/>
      <c r="FB7" s="44"/>
      <c r="FC7" s="44"/>
      <c r="FD7" s="44"/>
      <c r="FE7" s="44"/>
      <c r="FF7" s="44"/>
      <c r="FG7" s="44"/>
      <c r="FH7" s="44"/>
      <c r="FI7" s="45"/>
      <c r="FJ7" s="42"/>
    </row>
    <row r="8" spans="1:166" ht="18.75" customHeight="1">
      <c r="A8" s="31" t="str">
        <f>"3"</f>
        <v>3</v>
      </c>
      <c r="B8" s="32" t="s">
        <v>139</v>
      </c>
      <c r="C8" s="33">
        <v>2325</v>
      </c>
      <c r="D8" s="33">
        <v>2908</v>
      </c>
      <c r="E8" s="33">
        <v>3525</v>
      </c>
      <c r="F8" s="33">
        <v>3500</v>
      </c>
      <c r="G8" s="33">
        <v>3111</v>
      </c>
      <c r="H8" s="33">
        <v>4198</v>
      </c>
      <c r="I8" s="33">
        <v>3873</v>
      </c>
      <c r="J8" s="33">
        <v>4946</v>
      </c>
      <c r="K8" s="33">
        <v>5464</v>
      </c>
      <c r="L8" s="33">
        <v>2477</v>
      </c>
      <c r="M8" s="33">
        <v>3432</v>
      </c>
      <c r="N8" s="33">
        <v>3285</v>
      </c>
      <c r="O8" s="33">
        <v>3304</v>
      </c>
      <c r="P8" s="33">
        <v>4198</v>
      </c>
      <c r="Q8" s="33">
        <v>3471</v>
      </c>
      <c r="R8" s="33">
        <v>3391</v>
      </c>
      <c r="S8" s="33">
        <v>3815</v>
      </c>
      <c r="T8" s="33">
        <v>4618</v>
      </c>
      <c r="U8" s="33">
        <v>4837</v>
      </c>
      <c r="V8" s="33">
        <v>3672</v>
      </c>
      <c r="W8" s="33">
        <v>3909</v>
      </c>
      <c r="X8" s="33">
        <v>2783</v>
      </c>
      <c r="Y8" s="33">
        <v>3764</v>
      </c>
      <c r="Z8" s="33">
        <v>3541</v>
      </c>
      <c r="AA8" s="33">
        <v>3389</v>
      </c>
      <c r="AB8" s="33">
        <v>3372</v>
      </c>
      <c r="AC8" s="33">
        <v>3385</v>
      </c>
      <c r="AD8" s="33">
        <v>3407</v>
      </c>
      <c r="AE8" s="33">
        <v>3724</v>
      </c>
      <c r="AF8" s="33">
        <v>3980</v>
      </c>
      <c r="AG8" s="33">
        <v>2894</v>
      </c>
      <c r="AH8" s="33">
        <v>2878</v>
      </c>
      <c r="AI8" s="33">
        <v>3036</v>
      </c>
      <c r="AJ8" s="33">
        <v>1563</v>
      </c>
      <c r="AK8" s="33">
        <v>2206</v>
      </c>
      <c r="AL8" s="33">
        <v>1976</v>
      </c>
      <c r="AM8" s="33">
        <v>2058</v>
      </c>
      <c r="AN8" s="33">
        <v>2619</v>
      </c>
      <c r="AO8" s="33">
        <v>2862</v>
      </c>
      <c r="AP8" s="33">
        <v>2389</v>
      </c>
      <c r="AQ8" s="33">
        <v>2683</v>
      </c>
      <c r="AR8" s="33">
        <v>4206</v>
      </c>
      <c r="AS8" s="33">
        <v>3717</v>
      </c>
      <c r="AT8" s="33">
        <v>3143</v>
      </c>
      <c r="AU8" s="33">
        <v>3275</v>
      </c>
      <c r="AV8" s="33">
        <v>1554</v>
      </c>
      <c r="AW8" s="33">
        <v>2103</v>
      </c>
      <c r="AX8" s="33">
        <v>1822</v>
      </c>
      <c r="AY8" s="33">
        <v>2585</v>
      </c>
      <c r="AZ8" s="33">
        <v>2939</v>
      </c>
      <c r="BA8" s="33">
        <v>2908</v>
      </c>
      <c r="BB8" s="33">
        <v>2918</v>
      </c>
      <c r="BC8" s="33">
        <v>3910</v>
      </c>
      <c r="BD8" s="33">
        <v>2451</v>
      </c>
      <c r="BE8" s="33">
        <v>1838</v>
      </c>
      <c r="BF8" s="33">
        <v>2276</v>
      </c>
      <c r="BG8" s="33">
        <v>2262</v>
      </c>
      <c r="BH8" s="33">
        <v>1610</v>
      </c>
      <c r="BI8" s="33">
        <v>1858</v>
      </c>
      <c r="BJ8" s="33">
        <v>2061</v>
      </c>
      <c r="BK8" s="33">
        <v>2556</v>
      </c>
      <c r="BL8" s="34">
        <v>3120</v>
      </c>
      <c r="BM8" s="33">
        <v>4125</v>
      </c>
      <c r="BN8" s="33">
        <v>4364</v>
      </c>
      <c r="BO8" s="33">
        <v>4516</v>
      </c>
      <c r="BP8" s="33">
        <v>2646</v>
      </c>
      <c r="BQ8" s="33">
        <v>2587</v>
      </c>
      <c r="BR8" s="33">
        <v>3027</v>
      </c>
      <c r="BS8" s="33">
        <v>1967</v>
      </c>
      <c r="BT8" s="33">
        <v>1670</v>
      </c>
      <c r="BU8" s="33">
        <v>1790</v>
      </c>
      <c r="BV8" s="33">
        <v>1827</v>
      </c>
      <c r="BW8" s="33">
        <v>1839</v>
      </c>
      <c r="BX8" s="33">
        <v>2180</v>
      </c>
      <c r="BY8" s="33">
        <v>2664</v>
      </c>
      <c r="BZ8" s="33">
        <v>1792</v>
      </c>
      <c r="CA8" s="33">
        <v>3057</v>
      </c>
      <c r="CB8" s="33">
        <v>4586</v>
      </c>
      <c r="CC8" s="32">
        <v>4270</v>
      </c>
      <c r="CD8" s="32">
        <v>4713</v>
      </c>
      <c r="CE8" s="32">
        <v>2771</v>
      </c>
      <c r="CF8" s="32">
        <v>2239</v>
      </c>
      <c r="CG8" s="32">
        <v>4711</v>
      </c>
      <c r="CH8" s="34">
        <v>3686</v>
      </c>
      <c r="CI8" s="35">
        <v>3156</v>
      </c>
      <c r="CJ8" s="34">
        <v>3218</v>
      </c>
      <c r="CK8" s="34">
        <v>2968</v>
      </c>
      <c r="CL8" s="34">
        <v>2737</v>
      </c>
      <c r="CM8" s="34">
        <v>3355</v>
      </c>
      <c r="CN8" s="34">
        <v>3668</v>
      </c>
      <c r="CO8" s="34">
        <v>4025</v>
      </c>
      <c r="CP8" s="34">
        <v>3777</v>
      </c>
      <c r="CQ8" s="34">
        <v>3482</v>
      </c>
      <c r="CR8" s="34">
        <v>1342</v>
      </c>
      <c r="CS8" s="34">
        <v>1770</v>
      </c>
      <c r="CT8" s="34">
        <v>1788</v>
      </c>
      <c r="CU8" s="34">
        <v>1938</v>
      </c>
      <c r="CV8" s="34">
        <v>3610</v>
      </c>
      <c r="CW8" s="34">
        <v>3464</v>
      </c>
      <c r="CX8" s="34">
        <v>3059</v>
      </c>
      <c r="CY8" s="34">
        <v>3629</v>
      </c>
      <c r="CZ8" s="34">
        <v>3581</v>
      </c>
      <c r="DA8" s="34">
        <v>2997</v>
      </c>
      <c r="DB8" s="34">
        <v>3425</v>
      </c>
      <c r="DC8" s="34">
        <v>2422</v>
      </c>
      <c r="DD8" s="34">
        <v>1883</v>
      </c>
      <c r="DE8" s="34">
        <v>2342</v>
      </c>
      <c r="DF8" s="34">
        <v>2134</v>
      </c>
      <c r="DG8" s="34">
        <v>2264</v>
      </c>
      <c r="DH8" s="34">
        <v>2991</v>
      </c>
      <c r="DI8" s="34">
        <v>3153</v>
      </c>
      <c r="DJ8" s="34">
        <v>2613</v>
      </c>
      <c r="DK8" s="34">
        <v>2667</v>
      </c>
      <c r="DL8" s="34">
        <v>2917</v>
      </c>
      <c r="DM8" s="34">
        <v>2762</v>
      </c>
      <c r="DN8" s="34">
        <v>2387</v>
      </c>
      <c r="DO8" s="34">
        <v>2218</v>
      </c>
      <c r="DP8" s="34">
        <v>2281</v>
      </c>
      <c r="DQ8" s="34">
        <v>2488</v>
      </c>
      <c r="DR8" s="34">
        <v>2533</v>
      </c>
      <c r="DS8" s="34">
        <v>2699</v>
      </c>
      <c r="DT8" s="34">
        <v>2996</v>
      </c>
      <c r="DU8" s="34">
        <v>2691</v>
      </c>
      <c r="DV8" s="34">
        <v>2756</v>
      </c>
      <c r="DW8" s="34">
        <v>2580</v>
      </c>
      <c r="DX8" s="34">
        <v>3431</v>
      </c>
      <c r="DY8" s="34">
        <v>2703</v>
      </c>
      <c r="DZ8" s="34">
        <v>2589</v>
      </c>
      <c r="EA8" s="34">
        <v>2292</v>
      </c>
      <c r="EB8" s="34">
        <v>2322</v>
      </c>
      <c r="EC8" s="34">
        <v>2881</v>
      </c>
      <c r="ED8" s="34">
        <v>2727</v>
      </c>
      <c r="EE8" s="34">
        <v>2546</v>
      </c>
      <c r="EF8" s="34">
        <v>2945</v>
      </c>
      <c r="EG8" s="34">
        <v>2921</v>
      </c>
      <c r="EH8" s="34">
        <v>2293</v>
      </c>
      <c r="EI8" s="34">
        <v>2786</v>
      </c>
      <c r="EJ8" s="34">
        <v>3305</v>
      </c>
      <c r="EK8" s="34">
        <v>2733</v>
      </c>
      <c r="EL8" s="34">
        <v>2163</v>
      </c>
      <c r="EM8" s="34">
        <v>1701</v>
      </c>
      <c r="EN8" s="34">
        <v>2131</v>
      </c>
      <c r="EO8" s="34">
        <v>2851</v>
      </c>
      <c r="EP8" s="34">
        <v>2935</v>
      </c>
      <c r="EQ8" s="34">
        <v>2207</v>
      </c>
      <c r="ER8" s="34">
        <v>3460</v>
      </c>
      <c r="ES8" s="34">
        <v>2917</v>
      </c>
      <c r="ET8" s="34">
        <v>2445</v>
      </c>
      <c r="EU8" s="34">
        <v>2490</v>
      </c>
      <c r="EV8" s="34">
        <v>2674</v>
      </c>
      <c r="EW8" s="34">
        <v>2031</v>
      </c>
      <c r="EX8" s="34">
        <v>1761</v>
      </c>
      <c r="EZ8" s="45"/>
      <c r="FA8" s="45"/>
      <c r="FB8" s="45"/>
      <c r="FC8" s="45"/>
      <c r="FD8" s="45"/>
      <c r="FE8" s="45"/>
      <c r="FF8" s="45"/>
      <c r="FG8" s="45"/>
      <c r="FH8" s="45"/>
      <c r="FI8" s="45"/>
    </row>
    <row r="9" spans="1:166" ht="18.75" customHeight="1">
      <c r="A9" s="31" t="str">
        <f>"4"</f>
        <v>4</v>
      </c>
      <c r="B9" s="32" t="s">
        <v>140</v>
      </c>
      <c r="C9" s="33">
        <v>3864</v>
      </c>
      <c r="D9" s="33">
        <v>5054</v>
      </c>
      <c r="E9" s="33">
        <v>5737</v>
      </c>
      <c r="F9" s="33">
        <v>6120</v>
      </c>
      <c r="G9" s="33">
        <v>4790</v>
      </c>
      <c r="H9" s="33">
        <v>7348</v>
      </c>
      <c r="I9" s="33">
        <v>6672</v>
      </c>
      <c r="J9" s="33">
        <v>6981</v>
      </c>
      <c r="K9" s="33">
        <v>9084</v>
      </c>
      <c r="L9" s="33">
        <v>3986</v>
      </c>
      <c r="M9" s="33">
        <v>5718</v>
      </c>
      <c r="N9" s="33">
        <v>5255</v>
      </c>
      <c r="O9" s="33">
        <v>4967</v>
      </c>
      <c r="P9" s="33">
        <v>6096</v>
      </c>
      <c r="Q9" s="33">
        <v>6310</v>
      </c>
      <c r="R9" s="33">
        <v>5194</v>
      </c>
      <c r="S9" s="33">
        <v>6239</v>
      </c>
      <c r="T9" s="33">
        <v>8191</v>
      </c>
      <c r="U9" s="33">
        <v>7901</v>
      </c>
      <c r="V9" s="33">
        <v>6268</v>
      </c>
      <c r="W9" s="33">
        <v>5771</v>
      </c>
      <c r="X9" s="33">
        <v>4605</v>
      </c>
      <c r="Y9" s="33">
        <v>6783</v>
      </c>
      <c r="Z9" s="33">
        <v>5243</v>
      </c>
      <c r="AA9" s="33">
        <v>5426</v>
      </c>
      <c r="AB9" s="33">
        <v>5326</v>
      </c>
      <c r="AC9" s="33">
        <v>5493</v>
      </c>
      <c r="AD9" s="33">
        <v>5140</v>
      </c>
      <c r="AE9" s="33">
        <v>5476</v>
      </c>
      <c r="AF9" s="33">
        <v>5738</v>
      </c>
      <c r="AG9" s="33">
        <v>4365</v>
      </c>
      <c r="AH9" s="33">
        <v>4130</v>
      </c>
      <c r="AI9" s="33">
        <v>3593</v>
      </c>
      <c r="AJ9" s="33">
        <v>2494</v>
      </c>
      <c r="AK9" s="33">
        <v>3848</v>
      </c>
      <c r="AL9" s="33">
        <v>3073</v>
      </c>
      <c r="AM9" s="33">
        <v>3586</v>
      </c>
      <c r="AN9" s="33">
        <v>4568</v>
      </c>
      <c r="AO9" s="33">
        <v>4572</v>
      </c>
      <c r="AP9" s="33">
        <v>3558</v>
      </c>
      <c r="AQ9" s="33">
        <v>4775</v>
      </c>
      <c r="AR9" s="33">
        <v>6792</v>
      </c>
      <c r="AS9" s="33">
        <v>6147</v>
      </c>
      <c r="AT9" s="33">
        <v>4881</v>
      </c>
      <c r="AU9" s="33">
        <v>4979</v>
      </c>
      <c r="AV9" s="33">
        <v>2962</v>
      </c>
      <c r="AW9" s="33">
        <v>3849</v>
      </c>
      <c r="AX9" s="33">
        <v>3399</v>
      </c>
      <c r="AY9" s="33">
        <v>4432</v>
      </c>
      <c r="AZ9" s="33">
        <v>4188</v>
      </c>
      <c r="BA9" s="33">
        <v>4256</v>
      </c>
      <c r="BB9" s="33">
        <v>4648</v>
      </c>
      <c r="BC9" s="33">
        <v>5276</v>
      </c>
      <c r="BD9" s="33">
        <v>4116</v>
      </c>
      <c r="BE9" s="33">
        <v>3571</v>
      </c>
      <c r="BF9" s="33">
        <v>3473</v>
      </c>
      <c r="BG9" s="33">
        <v>3234</v>
      </c>
      <c r="BH9" s="33">
        <v>3125</v>
      </c>
      <c r="BI9" s="33">
        <v>3622</v>
      </c>
      <c r="BJ9" s="33">
        <v>3764</v>
      </c>
      <c r="BK9" s="33">
        <v>3663</v>
      </c>
      <c r="BL9" s="34">
        <v>4019</v>
      </c>
      <c r="BM9" s="33">
        <v>5295</v>
      </c>
      <c r="BN9" s="33">
        <v>5629</v>
      </c>
      <c r="BO9" s="33">
        <v>5655</v>
      </c>
      <c r="BP9" s="33">
        <v>4927</v>
      </c>
      <c r="BQ9" s="33">
        <v>4491</v>
      </c>
      <c r="BR9" s="33">
        <v>4842</v>
      </c>
      <c r="BS9" s="33">
        <v>3391</v>
      </c>
      <c r="BT9" s="33">
        <v>2760</v>
      </c>
      <c r="BU9" s="33">
        <v>3053</v>
      </c>
      <c r="BV9" s="33">
        <v>2977</v>
      </c>
      <c r="BW9" s="33">
        <v>2780</v>
      </c>
      <c r="BX9" s="33">
        <v>3197</v>
      </c>
      <c r="BY9" s="33">
        <v>3523</v>
      </c>
      <c r="BZ9" s="33">
        <v>1948</v>
      </c>
      <c r="CA9" s="33">
        <v>2618</v>
      </c>
      <c r="CB9" s="33">
        <v>3872</v>
      </c>
      <c r="CC9" s="32">
        <v>3824</v>
      </c>
      <c r="CD9" s="32">
        <v>3731</v>
      </c>
      <c r="CE9" s="32">
        <v>3558</v>
      </c>
      <c r="CF9" s="32">
        <v>1928</v>
      </c>
      <c r="CG9" s="32">
        <v>3820</v>
      </c>
      <c r="CH9" s="34">
        <v>3790</v>
      </c>
      <c r="CI9" s="35">
        <v>3028</v>
      </c>
      <c r="CJ9" s="34">
        <v>2612</v>
      </c>
      <c r="CK9" s="34">
        <v>2625</v>
      </c>
      <c r="CL9" s="34">
        <v>2388</v>
      </c>
      <c r="CM9" s="34">
        <v>2659</v>
      </c>
      <c r="CN9" s="34">
        <v>3526</v>
      </c>
      <c r="CO9" s="34">
        <v>2554</v>
      </c>
      <c r="CP9" s="34">
        <v>2794</v>
      </c>
      <c r="CQ9" s="34">
        <v>2497</v>
      </c>
      <c r="CR9" s="34">
        <v>1300</v>
      </c>
      <c r="CS9" s="34">
        <v>1651</v>
      </c>
      <c r="CT9" s="34">
        <v>1788</v>
      </c>
      <c r="CU9" s="34">
        <v>1744</v>
      </c>
      <c r="CV9" s="34">
        <v>3024</v>
      </c>
      <c r="CW9" s="34">
        <v>2770</v>
      </c>
      <c r="CX9" s="34">
        <v>2984</v>
      </c>
      <c r="CY9" s="34">
        <v>4453</v>
      </c>
      <c r="CZ9" s="34">
        <v>3788</v>
      </c>
      <c r="DA9" s="34">
        <v>3250</v>
      </c>
      <c r="DB9" s="34">
        <v>4178</v>
      </c>
      <c r="DC9" s="34">
        <v>3024</v>
      </c>
      <c r="DD9" s="34">
        <v>1500</v>
      </c>
      <c r="DE9" s="34">
        <v>2632</v>
      </c>
      <c r="DF9" s="34">
        <v>2205</v>
      </c>
      <c r="DG9" s="34">
        <v>2004</v>
      </c>
      <c r="DH9" s="34">
        <v>2321</v>
      </c>
      <c r="DI9" s="34">
        <v>2374</v>
      </c>
      <c r="DJ9" s="34">
        <v>2056</v>
      </c>
      <c r="DK9" s="34">
        <v>1945</v>
      </c>
      <c r="DL9" s="34">
        <v>2472</v>
      </c>
      <c r="DM9" s="34">
        <v>2739</v>
      </c>
      <c r="DN9" s="34">
        <v>1788</v>
      </c>
      <c r="DO9" s="34">
        <v>1331</v>
      </c>
      <c r="DP9" s="34">
        <v>1442</v>
      </c>
      <c r="DQ9" s="34">
        <v>1803</v>
      </c>
      <c r="DR9" s="34">
        <v>1950</v>
      </c>
      <c r="DS9" s="34">
        <v>1835</v>
      </c>
      <c r="DT9" s="34">
        <v>2094</v>
      </c>
      <c r="DU9" s="34">
        <v>2299</v>
      </c>
      <c r="DV9" s="34">
        <v>2058</v>
      </c>
      <c r="DW9" s="34">
        <v>1959</v>
      </c>
      <c r="DX9" s="34">
        <v>2778</v>
      </c>
      <c r="DY9" s="34">
        <v>2524</v>
      </c>
      <c r="DZ9" s="34">
        <v>2427</v>
      </c>
      <c r="EA9" s="34">
        <v>1869</v>
      </c>
      <c r="EB9" s="34">
        <v>1644</v>
      </c>
      <c r="EC9" s="34">
        <v>2627</v>
      </c>
      <c r="ED9" s="34">
        <v>2035</v>
      </c>
      <c r="EE9" s="34">
        <v>2018</v>
      </c>
      <c r="EF9" s="34">
        <v>2291</v>
      </c>
      <c r="EG9" s="34">
        <v>2400</v>
      </c>
      <c r="EH9" s="34">
        <v>2244</v>
      </c>
      <c r="EI9" s="34">
        <v>2298</v>
      </c>
      <c r="EJ9" s="34">
        <v>2741</v>
      </c>
      <c r="EK9" s="34">
        <v>2228</v>
      </c>
      <c r="EL9" s="34">
        <v>1784</v>
      </c>
      <c r="EM9" s="34">
        <v>1166</v>
      </c>
      <c r="EN9" s="34">
        <v>1872</v>
      </c>
      <c r="EO9" s="34">
        <v>2366</v>
      </c>
      <c r="EP9" s="34">
        <v>2401</v>
      </c>
      <c r="EQ9" s="34">
        <v>1871</v>
      </c>
      <c r="ER9" s="34">
        <v>2484</v>
      </c>
      <c r="ES9" s="34">
        <v>2500</v>
      </c>
      <c r="ET9" s="34">
        <v>2226</v>
      </c>
      <c r="EU9" s="34">
        <v>2519</v>
      </c>
      <c r="EV9" s="34">
        <v>2310</v>
      </c>
      <c r="EW9" s="34">
        <v>2055</v>
      </c>
      <c r="EX9" s="34">
        <v>1533</v>
      </c>
      <c r="EZ9" s="43"/>
      <c r="FA9" s="43"/>
      <c r="FB9" s="43"/>
      <c r="FC9" s="43"/>
      <c r="FD9" s="43"/>
      <c r="FE9" s="43"/>
      <c r="FF9" s="43"/>
      <c r="FG9" s="43"/>
      <c r="FH9" s="43"/>
    </row>
    <row r="10" spans="1:166" ht="18.75" customHeight="1">
      <c r="A10" s="31" t="str">
        <f>"5"</f>
        <v>5</v>
      </c>
      <c r="B10" s="32" t="s">
        <v>141</v>
      </c>
      <c r="C10" s="33">
        <v>3852</v>
      </c>
      <c r="D10" s="33">
        <v>5050</v>
      </c>
      <c r="E10" s="33">
        <v>5989</v>
      </c>
      <c r="F10" s="33">
        <v>5866</v>
      </c>
      <c r="G10" s="33">
        <v>5151</v>
      </c>
      <c r="H10" s="33">
        <v>6729</v>
      </c>
      <c r="I10" s="33">
        <v>7224</v>
      </c>
      <c r="J10" s="33">
        <v>7588</v>
      </c>
      <c r="K10" s="33">
        <v>8859</v>
      </c>
      <c r="L10" s="33">
        <v>4482</v>
      </c>
      <c r="M10" s="33">
        <v>6642</v>
      </c>
      <c r="N10" s="33">
        <v>6622</v>
      </c>
      <c r="O10" s="33">
        <v>6193</v>
      </c>
      <c r="P10" s="33">
        <v>7549</v>
      </c>
      <c r="Q10" s="33">
        <v>7250</v>
      </c>
      <c r="R10" s="33">
        <v>6313</v>
      </c>
      <c r="S10" s="33">
        <v>7060</v>
      </c>
      <c r="T10" s="33">
        <v>8410</v>
      </c>
      <c r="U10" s="33">
        <v>8128</v>
      </c>
      <c r="V10" s="33">
        <v>6876</v>
      </c>
      <c r="W10" s="33">
        <v>6213</v>
      </c>
      <c r="X10" s="33">
        <v>5058</v>
      </c>
      <c r="Y10" s="33">
        <v>6614</v>
      </c>
      <c r="Z10" s="33">
        <v>6059</v>
      </c>
      <c r="AA10" s="33">
        <v>6083</v>
      </c>
      <c r="AB10" s="33">
        <v>5747</v>
      </c>
      <c r="AC10" s="33">
        <v>5974</v>
      </c>
      <c r="AD10" s="33">
        <v>5431</v>
      </c>
      <c r="AE10" s="33">
        <v>6216</v>
      </c>
      <c r="AF10" s="33">
        <v>6606</v>
      </c>
      <c r="AG10" s="33">
        <v>4550</v>
      </c>
      <c r="AH10" s="33">
        <v>4943</v>
      </c>
      <c r="AI10" s="33">
        <v>4924</v>
      </c>
      <c r="AJ10" s="33">
        <v>3355</v>
      </c>
      <c r="AK10" s="33">
        <v>3725</v>
      </c>
      <c r="AL10" s="33">
        <v>3800</v>
      </c>
      <c r="AM10" s="33">
        <v>4467</v>
      </c>
      <c r="AN10" s="33">
        <v>4360</v>
      </c>
      <c r="AO10" s="33">
        <v>5094</v>
      </c>
      <c r="AP10" s="33">
        <v>4052</v>
      </c>
      <c r="AQ10" s="33">
        <v>5085</v>
      </c>
      <c r="AR10" s="33">
        <v>8139</v>
      </c>
      <c r="AS10" s="33">
        <v>7435</v>
      </c>
      <c r="AT10" s="33">
        <v>6549</v>
      </c>
      <c r="AU10" s="33">
        <v>6453</v>
      </c>
      <c r="AV10" s="33">
        <v>3154</v>
      </c>
      <c r="AW10" s="33">
        <v>3890</v>
      </c>
      <c r="AX10" s="33">
        <v>4138</v>
      </c>
      <c r="AY10" s="33">
        <v>5241</v>
      </c>
      <c r="AZ10" s="33">
        <v>5724</v>
      </c>
      <c r="BA10" s="33">
        <v>5704</v>
      </c>
      <c r="BB10" s="33">
        <v>5947</v>
      </c>
      <c r="BC10" s="33">
        <v>4916</v>
      </c>
      <c r="BD10" s="33">
        <v>3831</v>
      </c>
      <c r="BE10" s="33">
        <v>3661</v>
      </c>
      <c r="BF10" s="33">
        <v>4511</v>
      </c>
      <c r="BG10" s="33">
        <v>3388</v>
      </c>
      <c r="BH10" s="33">
        <v>3670</v>
      </c>
      <c r="BI10" s="33">
        <v>3983</v>
      </c>
      <c r="BJ10" s="33">
        <v>4296</v>
      </c>
      <c r="BK10" s="33">
        <v>4887</v>
      </c>
      <c r="BL10" s="34">
        <v>4961</v>
      </c>
      <c r="BM10" s="33">
        <v>6423</v>
      </c>
      <c r="BN10" s="33">
        <v>6697</v>
      </c>
      <c r="BO10" s="33">
        <v>6677</v>
      </c>
      <c r="BP10" s="33">
        <v>4593</v>
      </c>
      <c r="BQ10" s="33">
        <v>4890</v>
      </c>
      <c r="BR10" s="33">
        <v>5409</v>
      </c>
      <c r="BS10" s="33">
        <v>3818</v>
      </c>
      <c r="BT10" s="33">
        <v>3455</v>
      </c>
      <c r="BU10" s="33">
        <v>3699</v>
      </c>
      <c r="BV10" s="33">
        <v>3952</v>
      </c>
      <c r="BW10" s="33">
        <v>3765</v>
      </c>
      <c r="BX10" s="33">
        <v>4201</v>
      </c>
      <c r="BY10" s="33">
        <v>4338</v>
      </c>
      <c r="BZ10" s="33">
        <v>1056</v>
      </c>
      <c r="CA10" s="33">
        <v>1895</v>
      </c>
      <c r="CB10" s="33">
        <v>2867</v>
      </c>
      <c r="CC10" s="32">
        <v>3374</v>
      </c>
      <c r="CD10" s="32">
        <v>3615</v>
      </c>
      <c r="CE10" s="32">
        <v>3151</v>
      </c>
      <c r="CF10" s="32">
        <v>1930</v>
      </c>
      <c r="CG10" s="32">
        <v>5020</v>
      </c>
      <c r="CH10" s="34">
        <v>3598</v>
      </c>
      <c r="CI10" s="35">
        <v>2568</v>
      </c>
      <c r="CJ10" s="34">
        <v>2217</v>
      </c>
      <c r="CK10" s="34">
        <v>1846</v>
      </c>
      <c r="CL10" s="34">
        <v>1995</v>
      </c>
      <c r="CM10" s="34">
        <v>2274</v>
      </c>
      <c r="CN10" s="34">
        <v>2290</v>
      </c>
      <c r="CO10" s="34">
        <v>1691</v>
      </c>
      <c r="CP10" s="34">
        <v>2215</v>
      </c>
      <c r="CQ10" s="34">
        <v>1648</v>
      </c>
      <c r="CR10" s="34">
        <v>910</v>
      </c>
      <c r="CS10" s="34">
        <v>1076</v>
      </c>
      <c r="CT10" s="34">
        <v>1588</v>
      </c>
      <c r="CU10" s="34">
        <v>1981</v>
      </c>
      <c r="CV10" s="34">
        <v>2239</v>
      </c>
      <c r="CW10" s="34">
        <v>3280</v>
      </c>
      <c r="CX10" s="34">
        <v>2574</v>
      </c>
      <c r="CY10" s="34">
        <v>3338</v>
      </c>
      <c r="CZ10" s="34">
        <v>3239</v>
      </c>
      <c r="DA10" s="34">
        <v>2781</v>
      </c>
      <c r="DB10" s="34">
        <v>2999</v>
      </c>
      <c r="DC10" s="34">
        <v>2792</v>
      </c>
      <c r="DD10" s="34">
        <v>1395</v>
      </c>
      <c r="DE10" s="34">
        <v>1928</v>
      </c>
      <c r="DF10" s="34">
        <v>2166</v>
      </c>
      <c r="DG10" s="34">
        <v>2173</v>
      </c>
      <c r="DH10" s="34">
        <v>2654</v>
      </c>
      <c r="DI10" s="34">
        <v>2321</v>
      </c>
      <c r="DJ10" s="34">
        <v>1835</v>
      </c>
      <c r="DK10" s="34">
        <v>2000</v>
      </c>
      <c r="DL10" s="34">
        <v>1905</v>
      </c>
      <c r="DM10" s="34">
        <v>2109</v>
      </c>
      <c r="DN10" s="34">
        <v>1698</v>
      </c>
      <c r="DO10" s="34">
        <v>1281</v>
      </c>
      <c r="DP10" s="34">
        <v>1434</v>
      </c>
      <c r="DQ10" s="34">
        <v>1823</v>
      </c>
      <c r="DR10" s="34">
        <v>1562</v>
      </c>
      <c r="DS10" s="34">
        <v>1934</v>
      </c>
      <c r="DT10" s="34">
        <v>1785</v>
      </c>
      <c r="DU10" s="34">
        <v>2041</v>
      </c>
      <c r="DV10" s="34">
        <v>2263</v>
      </c>
      <c r="DW10" s="34">
        <v>2023</v>
      </c>
      <c r="DX10" s="34">
        <v>2310</v>
      </c>
      <c r="DY10" s="34">
        <v>2224</v>
      </c>
      <c r="DZ10" s="34">
        <v>1758</v>
      </c>
      <c r="EA10" s="34">
        <v>1560</v>
      </c>
      <c r="EB10" s="34">
        <v>1673</v>
      </c>
      <c r="EC10" s="34">
        <v>2099</v>
      </c>
      <c r="ED10" s="34">
        <v>2248</v>
      </c>
      <c r="EE10" s="34">
        <v>1902</v>
      </c>
      <c r="EF10" s="34">
        <v>2056</v>
      </c>
      <c r="EG10" s="34">
        <v>2244</v>
      </c>
      <c r="EH10" s="34">
        <v>2180</v>
      </c>
      <c r="EI10" s="34">
        <v>1991</v>
      </c>
      <c r="EJ10" s="34">
        <v>2368</v>
      </c>
      <c r="EK10" s="34">
        <v>1958</v>
      </c>
      <c r="EL10" s="34">
        <v>1248</v>
      </c>
      <c r="EM10" s="34">
        <v>1320</v>
      </c>
      <c r="EN10" s="34">
        <v>1530</v>
      </c>
      <c r="EO10" s="34">
        <v>1995</v>
      </c>
      <c r="EP10" s="34">
        <v>2321</v>
      </c>
      <c r="EQ10" s="34">
        <v>2612</v>
      </c>
      <c r="ER10" s="34">
        <v>2434</v>
      </c>
      <c r="ES10" s="34">
        <v>2282</v>
      </c>
      <c r="ET10" s="34">
        <v>2399</v>
      </c>
      <c r="EU10" s="34">
        <v>2154</v>
      </c>
      <c r="EV10" s="34">
        <v>1890</v>
      </c>
      <c r="EW10" s="34">
        <v>1587</v>
      </c>
      <c r="EX10" s="34">
        <v>1384</v>
      </c>
    </row>
    <row r="11" spans="1:166" ht="18.75" customHeight="1">
      <c r="A11" s="31" t="str">
        <f>"6"</f>
        <v>6</v>
      </c>
      <c r="B11" s="32" t="s">
        <v>142</v>
      </c>
      <c r="C11" s="33">
        <v>152</v>
      </c>
      <c r="D11" s="33">
        <v>55</v>
      </c>
      <c r="E11" s="33">
        <v>53</v>
      </c>
      <c r="F11" s="33">
        <v>50</v>
      </c>
      <c r="G11" s="33">
        <v>63</v>
      </c>
      <c r="H11" s="33">
        <v>94</v>
      </c>
      <c r="I11" s="33">
        <v>89</v>
      </c>
      <c r="J11" s="33">
        <v>192</v>
      </c>
      <c r="K11" s="33">
        <v>77</v>
      </c>
      <c r="L11" s="33">
        <v>25</v>
      </c>
      <c r="M11" s="33">
        <v>66</v>
      </c>
      <c r="N11" s="33">
        <v>190</v>
      </c>
      <c r="O11" s="33">
        <v>95</v>
      </c>
      <c r="P11" s="33">
        <v>204</v>
      </c>
      <c r="Q11" s="33">
        <v>52</v>
      </c>
      <c r="R11" s="33">
        <v>106</v>
      </c>
      <c r="S11" s="33">
        <v>77</v>
      </c>
      <c r="T11" s="33">
        <v>86</v>
      </c>
      <c r="U11" s="33">
        <v>135</v>
      </c>
      <c r="V11" s="33">
        <v>36</v>
      </c>
      <c r="W11" s="33">
        <v>64</v>
      </c>
      <c r="X11" s="33">
        <v>65</v>
      </c>
      <c r="Y11" s="33">
        <v>184</v>
      </c>
      <c r="Z11" s="33">
        <v>64</v>
      </c>
      <c r="AA11" s="33">
        <v>102</v>
      </c>
      <c r="AB11" s="33">
        <v>72</v>
      </c>
      <c r="AC11" s="33">
        <v>56</v>
      </c>
      <c r="AD11" s="33">
        <v>56</v>
      </c>
      <c r="AE11" s="33">
        <v>85</v>
      </c>
      <c r="AF11" s="33">
        <v>84</v>
      </c>
      <c r="AG11" s="33">
        <v>65</v>
      </c>
      <c r="AH11" s="33">
        <v>34</v>
      </c>
      <c r="AI11" s="33">
        <v>80</v>
      </c>
      <c r="AJ11" s="33">
        <v>19</v>
      </c>
      <c r="AK11" s="33">
        <v>61</v>
      </c>
      <c r="AL11" s="33">
        <v>36</v>
      </c>
      <c r="AM11" s="33">
        <v>47</v>
      </c>
      <c r="AN11" s="33">
        <v>49</v>
      </c>
      <c r="AO11" s="33">
        <v>50</v>
      </c>
      <c r="AP11" s="33">
        <v>57</v>
      </c>
      <c r="AQ11" s="33">
        <v>55</v>
      </c>
      <c r="AR11" s="33">
        <v>98</v>
      </c>
      <c r="AS11" s="33">
        <v>126</v>
      </c>
      <c r="AT11" s="33">
        <v>82</v>
      </c>
      <c r="AU11" s="33">
        <v>174</v>
      </c>
      <c r="AV11" s="33">
        <v>21</v>
      </c>
      <c r="AW11" s="33">
        <v>59</v>
      </c>
      <c r="AX11" s="33">
        <v>96</v>
      </c>
      <c r="AY11" s="33">
        <v>50</v>
      </c>
      <c r="AZ11" s="33">
        <v>99</v>
      </c>
      <c r="BA11" s="33">
        <v>64</v>
      </c>
      <c r="BB11" s="33">
        <v>31</v>
      </c>
      <c r="BC11" s="33">
        <v>81</v>
      </c>
      <c r="BD11" s="33">
        <v>104</v>
      </c>
      <c r="BE11" s="33">
        <v>42</v>
      </c>
      <c r="BF11" s="33">
        <v>48</v>
      </c>
      <c r="BG11" s="33">
        <v>46</v>
      </c>
      <c r="BH11" s="33">
        <v>45</v>
      </c>
      <c r="BI11" s="33">
        <v>52</v>
      </c>
      <c r="BJ11" s="33">
        <v>47</v>
      </c>
      <c r="BK11" s="33">
        <v>24</v>
      </c>
      <c r="BL11" s="34">
        <v>62</v>
      </c>
      <c r="BM11" s="33">
        <v>25</v>
      </c>
      <c r="BN11" s="33">
        <v>49</v>
      </c>
      <c r="BO11" s="33">
        <v>36</v>
      </c>
      <c r="BP11" s="33">
        <v>49</v>
      </c>
      <c r="BQ11" s="33">
        <v>34</v>
      </c>
      <c r="BR11" s="33">
        <v>205</v>
      </c>
      <c r="BS11" s="33">
        <v>23</v>
      </c>
      <c r="BT11" s="33">
        <v>27</v>
      </c>
      <c r="BU11" s="33">
        <v>103</v>
      </c>
      <c r="BV11" s="33">
        <v>20</v>
      </c>
      <c r="BW11" s="33">
        <v>22</v>
      </c>
      <c r="BX11" s="33">
        <v>49</v>
      </c>
      <c r="BY11" s="33">
        <v>29</v>
      </c>
      <c r="BZ11" s="33">
        <v>13</v>
      </c>
      <c r="CA11" s="33">
        <v>46</v>
      </c>
      <c r="CB11" s="33">
        <v>19</v>
      </c>
      <c r="CC11" s="32">
        <v>7</v>
      </c>
      <c r="CD11" s="32">
        <v>41</v>
      </c>
      <c r="CE11" s="32">
        <v>43</v>
      </c>
      <c r="CF11" s="32">
        <v>18</v>
      </c>
      <c r="CG11" s="32">
        <v>142</v>
      </c>
      <c r="CH11" s="34">
        <v>205</v>
      </c>
      <c r="CI11" s="35">
        <v>46</v>
      </c>
      <c r="CJ11" s="34">
        <v>53</v>
      </c>
      <c r="CK11" s="34">
        <v>40</v>
      </c>
      <c r="CL11" s="34">
        <v>36</v>
      </c>
      <c r="CM11" s="34">
        <v>20</v>
      </c>
      <c r="CN11" s="34">
        <v>15</v>
      </c>
      <c r="CO11" s="34">
        <v>20</v>
      </c>
      <c r="CP11" s="34">
        <v>24</v>
      </c>
      <c r="CQ11" s="34">
        <v>12</v>
      </c>
      <c r="CR11" s="34">
        <v>17</v>
      </c>
      <c r="CS11" s="34">
        <v>2</v>
      </c>
      <c r="CT11" s="34">
        <v>73</v>
      </c>
      <c r="CU11" s="34">
        <v>24</v>
      </c>
      <c r="CV11" s="34">
        <v>38</v>
      </c>
      <c r="CW11" s="34">
        <v>134</v>
      </c>
      <c r="CX11" s="34">
        <v>52</v>
      </c>
      <c r="CY11" s="34">
        <v>83</v>
      </c>
      <c r="CZ11" s="34">
        <v>30</v>
      </c>
      <c r="DA11" s="34">
        <v>25</v>
      </c>
      <c r="DB11" s="34">
        <v>16</v>
      </c>
      <c r="DC11" s="34">
        <v>39</v>
      </c>
      <c r="DD11" s="34">
        <v>24</v>
      </c>
      <c r="DE11" s="34">
        <v>47</v>
      </c>
      <c r="DF11" s="34">
        <v>27</v>
      </c>
      <c r="DG11" s="34">
        <v>37</v>
      </c>
      <c r="DH11" s="34">
        <v>33</v>
      </c>
      <c r="DI11" s="34">
        <v>27</v>
      </c>
      <c r="DJ11" s="34">
        <v>16</v>
      </c>
      <c r="DK11" s="34">
        <v>15</v>
      </c>
      <c r="DL11" s="34">
        <v>65</v>
      </c>
      <c r="DM11" s="34">
        <v>18</v>
      </c>
      <c r="DN11" s="34">
        <v>11</v>
      </c>
      <c r="DO11" s="34">
        <v>13</v>
      </c>
      <c r="DP11" s="34">
        <v>13</v>
      </c>
      <c r="DQ11" s="34">
        <v>13</v>
      </c>
      <c r="DR11" s="34">
        <v>32</v>
      </c>
      <c r="DS11" s="34">
        <v>19</v>
      </c>
      <c r="DT11" s="34">
        <v>31</v>
      </c>
      <c r="DU11" s="34">
        <v>12</v>
      </c>
      <c r="DV11" s="34">
        <v>21</v>
      </c>
      <c r="DW11" s="34">
        <v>37</v>
      </c>
      <c r="DX11" s="34">
        <v>11</v>
      </c>
      <c r="DY11" s="34">
        <v>8</v>
      </c>
      <c r="DZ11" s="34">
        <v>112</v>
      </c>
      <c r="EA11" s="34">
        <v>9</v>
      </c>
      <c r="EB11" s="34">
        <v>19</v>
      </c>
      <c r="EC11" s="34">
        <v>97</v>
      </c>
      <c r="ED11" s="34">
        <v>95</v>
      </c>
      <c r="EE11" s="34">
        <v>27</v>
      </c>
      <c r="EF11" s="34">
        <v>20</v>
      </c>
      <c r="EG11" s="34">
        <v>67</v>
      </c>
      <c r="EH11" s="34">
        <v>39</v>
      </c>
      <c r="EI11" s="34">
        <v>12</v>
      </c>
      <c r="EJ11" s="34">
        <v>16</v>
      </c>
      <c r="EK11" s="34">
        <v>28</v>
      </c>
      <c r="EL11" s="34">
        <v>19</v>
      </c>
      <c r="EM11" s="34">
        <v>14</v>
      </c>
      <c r="EN11" s="34">
        <v>17</v>
      </c>
      <c r="EO11" s="34">
        <v>34</v>
      </c>
      <c r="EP11" s="34">
        <v>4</v>
      </c>
      <c r="EQ11" s="34">
        <v>21</v>
      </c>
      <c r="ER11" s="34">
        <v>32</v>
      </c>
      <c r="ES11" s="34">
        <v>34</v>
      </c>
      <c r="ET11" s="34">
        <v>5</v>
      </c>
      <c r="EU11" s="34">
        <v>24</v>
      </c>
      <c r="EV11" s="34">
        <v>13</v>
      </c>
      <c r="EW11" s="34">
        <v>17</v>
      </c>
      <c r="EX11" s="34">
        <v>4</v>
      </c>
    </row>
    <row r="12" spans="1:166" ht="18.75" customHeight="1">
      <c r="A12" s="31" t="str">
        <f>"7"</f>
        <v>7</v>
      </c>
      <c r="B12" s="32" t="s">
        <v>143</v>
      </c>
      <c r="C12" s="33">
        <v>1228</v>
      </c>
      <c r="D12" s="33">
        <v>1377</v>
      </c>
      <c r="E12" s="33">
        <v>1444</v>
      </c>
      <c r="F12" s="33">
        <v>1648</v>
      </c>
      <c r="G12" s="33">
        <v>1698</v>
      </c>
      <c r="H12" s="33">
        <v>1854</v>
      </c>
      <c r="I12" s="33">
        <v>1954</v>
      </c>
      <c r="J12" s="33">
        <v>1865</v>
      </c>
      <c r="K12" s="33">
        <v>2782</v>
      </c>
      <c r="L12" s="33">
        <v>1105</v>
      </c>
      <c r="M12" s="33">
        <v>1690</v>
      </c>
      <c r="N12" s="33">
        <v>1407</v>
      </c>
      <c r="O12" s="33">
        <v>1368</v>
      </c>
      <c r="P12" s="33">
        <v>2023</v>
      </c>
      <c r="Q12" s="33">
        <v>1359</v>
      </c>
      <c r="R12" s="33">
        <v>1664</v>
      </c>
      <c r="S12" s="33">
        <v>1461</v>
      </c>
      <c r="T12" s="33">
        <v>2267</v>
      </c>
      <c r="U12" s="33">
        <v>2229</v>
      </c>
      <c r="V12" s="33">
        <v>2128</v>
      </c>
      <c r="W12" s="33">
        <v>1769</v>
      </c>
      <c r="X12" s="33">
        <v>1406</v>
      </c>
      <c r="Y12" s="33">
        <v>1669</v>
      </c>
      <c r="Z12" s="33">
        <v>1426</v>
      </c>
      <c r="AA12" s="33">
        <v>1436</v>
      </c>
      <c r="AB12" s="33">
        <v>1433</v>
      </c>
      <c r="AC12" s="33">
        <v>1689</v>
      </c>
      <c r="AD12" s="33">
        <v>1348</v>
      </c>
      <c r="AE12" s="33">
        <v>1492</v>
      </c>
      <c r="AF12" s="33">
        <v>1509</v>
      </c>
      <c r="AG12" s="33">
        <v>1263</v>
      </c>
      <c r="AH12" s="33">
        <v>1374</v>
      </c>
      <c r="AI12" s="33">
        <v>1277</v>
      </c>
      <c r="AJ12" s="33">
        <v>716</v>
      </c>
      <c r="AK12" s="33">
        <v>1004</v>
      </c>
      <c r="AL12" s="33">
        <v>907</v>
      </c>
      <c r="AM12" s="33">
        <v>852</v>
      </c>
      <c r="AN12" s="33">
        <v>987</v>
      </c>
      <c r="AO12" s="33">
        <v>1033</v>
      </c>
      <c r="AP12" s="33">
        <v>952</v>
      </c>
      <c r="AQ12" s="33">
        <v>1328</v>
      </c>
      <c r="AR12" s="33">
        <v>1480</v>
      </c>
      <c r="AS12" s="33">
        <v>1457</v>
      </c>
      <c r="AT12" s="33">
        <v>1179</v>
      </c>
      <c r="AU12" s="33">
        <v>1311</v>
      </c>
      <c r="AV12" s="33">
        <v>692</v>
      </c>
      <c r="AW12" s="33">
        <v>955</v>
      </c>
      <c r="AX12" s="33">
        <v>990</v>
      </c>
      <c r="AY12" s="33">
        <v>1068</v>
      </c>
      <c r="AZ12" s="33">
        <v>1006</v>
      </c>
      <c r="BA12" s="33">
        <v>916</v>
      </c>
      <c r="BB12" s="33">
        <v>1174</v>
      </c>
      <c r="BC12" s="33">
        <v>897</v>
      </c>
      <c r="BD12" s="33">
        <v>944</v>
      </c>
      <c r="BE12" s="33">
        <v>805</v>
      </c>
      <c r="BF12" s="33">
        <v>914</v>
      </c>
      <c r="BG12" s="33">
        <v>710</v>
      </c>
      <c r="BH12" s="33">
        <v>754</v>
      </c>
      <c r="BI12" s="33">
        <v>941</v>
      </c>
      <c r="BJ12" s="33">
        <v>750</v>
      </c>
      <c r="BK12" s="33">
        <v>861</v>
      </c>
      <c r="BL12" s="34">
        <v>1079</v>
      </c>
      <c r="BM12" s="33">
        <v>1204</v>
      </c>
      <c r="BN12" s="33">
        <v>1163</v>
      </c>
      <c r="BO12" s="33">
        <v>1339</v>
      </c>
      <c r="BP12" s="33">
        <v>1043</v>
      </c>
      <c r="BQ12" s="33">
        <v>856</v>
      </c>
      <c r="BR12" s="33">
        <v>1175</v>
      </c>
      <c r="BS12" s="33">
        <v>822</v>
      </c>
      <c r="BT12" s="33">
        <v>766</v>
      </c>
      <c r="BU12" s="33">
        <v>955</v>
      </c>
      <c r="BV12" s="33">
        <v>856</v>
      </c>
      <c r="BW12" s="33">
        <v>797</v>
      </c>
      <c r="BX12" s="33">
        <v>975</v>
      </c>
      <c r="BY12" s="33">
        <v>1106</v>
      </c>
      <c r="BZ12" s="33">
        <v>2005</v>
      </c>
      <c r="CA12" s="33">
        <v>2004</v>
      </c>
      <c r="CB12" s="33">
        <v>2110</v>
      </c>
      <c r="CC12" s="32">
        <v>2720</v>
      </c>
      <c r="CD12" s="32">
        <v>1282</v>
      </c>
      <c r="CE12" s="32">
        <v>611</v>
      </c>
      <c r="CF12" s="32">
        <v>375</v>
      </c>
      <c r="CG12" s="32">
        <v>1326</v>
      </c>
      <c r="CH12" s="34">
        <v>861</v>
      </c>
      <c r="CI12" s="35">
        <v>389</v>
      </c>
      <c r="CJ12" s="34">
        <v>384</v>
      </c>
      <c r="CK12" s="34">
        <v>433</v>
      </c>
      <c r="CL12" s="34">
        <v>323</v>
      </c>
      <c r="CM12" s="34">
        <v>573</v>
      </c>
      <c r="CN12" s="34">
        <v>713</v>
      </c>
      <c r="CO12" s="34">
        <v>640</v>
      </c>
      <c r="CP12" s="34">
        <v>1101</v>
      </c>
      <c r="CQ12" s="34">
        <v>618</v>
      </c>
      <c r="CR12" s="34">
        <v>266</v>
      </c>
      <c r="CS12" s="34">
        <v>338</v>
      </c>
      <c r="CT12" s="34">
        <v>280</v>
      </c>
      <c r="CU12" s="34">
        <v>389</v>
      </c>
      <c r="CV12" s="34">
        <v>820</v>
      </c>
      <c r="CW12" s="34">
        <v>382</v>
      </c>
      <c r="CX12" s="34">
        <v>843</v>
      </c>
      <c r="CY12" s="34">
        <v>1260</v>
      </c>
      <c r="CZ12" s="34">
        <v>770</v>
      </c>
      <c r="DA12" s="34">
        <v>957</v>
      </c>
      <c r="DB12" s="34">
        <v>648</v>
      </c>
      <c r="DC12" s="34">
        <v>866</v>
      </c>
      <c r="DD12" s="34">
        <v>329</v>
      </c>
      <c r="DE12" s="34">
        <v>498</v>
      </c>
      <c r="DF12" s="34">
        <v>612</v>
      </c>
      <c r="DG12" s="34">
        <v>619</v>
      </c>
      <c r="DH12" s="34">
        <v>801</v>
      </c>
      <c r="DI12" s="34">
        <v>602</v>
      </c>
      <c r="DJ12" s="34">
        <v>822</v>
      </c>
      <c r="DK12" s="34">
        <v>553</v>
      </c>
      <c r="DL12" s="34">
        <v>410</v>
      </c>
      <c r="DM12" s="34">
        <v>727</v>
      </c>
      <c r="DN12" s="34">
        <v>451</v>
      </c>
      <c r="DO12" s="34">
        <v>417</v>
      </c>
      <c r="DP12" s="34">
        <v>342</v>
      </c>
      <c r="DQ12" s="34">
        <v>476</v>
      </c>
      <c r="DR12" s="34">
        <v>439</v>
      </c>
      <c r="DS12" s="34">
        <v>494</v>
      </c>
      <c r="DT12" s="34">
        <v>564</v>
      </c>
      <c r="DU12" s="34">
        <v>547</v>
      </c>
      <c r="DV12" s="34">
        <v>522</v>
      </c>
      <c r="DW12" s="34">
        <v>545</v>
      </c>
      <c r="DX12" s="34">
        <v>638</v>
      </c>
      <c r="DY12" s="34">
        <v>531</v>
      </c>
      <c r="DZ12" s="34">
        <v>479</v>
      </c>
      <c r="EA12" s="34">
        <v>494</v>
      </c>
      <c r="EB12" s="34">
        <v>357</v>
      </c>
      <c r="EC12" s="34">
        <v>459</v>
      </c>
      <c r="ED12" s="34">
        <v>547</v>
      </c>
      <c r="EE12" s="34">
        <v>352</v>
      </c>
      <c r="EF12" s="34">
        <v>422</v>
      </c>
      <c r="EG12" s="34">
        <v>575</v>
      </c>
      <c r="EH12" s="34">
        <v>545</v>
      </c>
      <c r="EI12" s="34">
        <v>620</v>
      </c>
      <c r="EJ12" s="34">
        <v>540</v>
      </c>
      <c r="EK12" s="34">
        <v>480</v>
      </c>
      <c r="EL12" s="34">
        <v>497</v>
      </c>
      <c r="EM12" s="34">
        <v>334</v>
      </c>
      <c r="EN12" s="34">
        <v>307</v>
      </c>
      <c r="EO12" s="34">
        <v>503</v>
      </c>
      <c r="EP12" s="34">
        <v>547</v>
      </c>
      <c r="EQ12" s="34">
        <v>407</v>
      </c>
      <c r="ER12" s="34">
        <v>444</v>
      </c>
      <c r="ES12" s="34">
        <v>412</v>
      </c>
      <c r="ET12" s="34">
        <v>417</v>
      </c>
      <c r="EU12" s="34">
        <v>471</v>
      </c>
      <c r="EV12" s="34">
        <v>383</v>
      </c>
      <c r="EW12" s="34">
        <v>439</v>
      </c>
      <c r="EX12" s="34">
        <v>264</v>
      </c>
    </row>
    <row r="13" spans="1:166" ht="18.75" customHeight="1">
      <c r="A13" s="31" t="str">
        <f>"8"</f>
        <v>8</v>
      </c>
      <c r="B13" s="32" t="s">
        <v>144</v>
      </c>
      <c r="C13" s="33">
        <v>1850</v>
      </c>
      <c r="D13" s="33">
        <v>1593</v>
      </c>
      <c r="E13" s="33">
        <v>2200</v>
      </c>
      <c r="F13" s="33">
        <v>2594</v>
      </c>
      <c r="G13" s="33">
        <v>1847</v>
      </c>
      <c r="H13" s="33">
        <v>1748</v>
      </c>
      <c r="I13" s="33">
        <v>2316</v>
      </c>
      <c r="J13" s="33">
        <v>3245</v>
      </c>
      <c r="K13" s="33">
        <v>3689</v>
      </c>
      <c r="L13" s="33">
        <v>1250</v>
      </c>
      <c r="M13" s="33">
        <v>1949</v>
      </c>
      <c r="N13" s="33">
        <v>1900</v>
      </c>
      <c r="O13" s="33">
        <v>2269</v>
      </c>
      <c r="P13" s="33">
        <v>1921</v>
      </c>
      <c r="Q13" s="33">
        <v>2027</v>
      </c>
      <c r="R13" s="33">
        <v>1465</v>
      </c>
      <c r="S13" s="33">
        <v>1857</v>
      </c>
      <c r="T13" s="33">
        <v>3365</v>
      </c>
      <c r="U13" s="33">
        <v>3115</v>
      </c>
      <c r="V13" s="33">
        <v>3274</v>
      </c>
      <c r="W13" s="33">
        <v>2066</v>
      </c>
      <c r="X13" s="33">
        <v>1684</v>
      </c>
      <c r="Y13" s="33">
        <v>2206</v>
      </c>
      <c r="Z13" s="33">
        <v>1789</v>
      </c>
      <c r="AA13" s="33">
        <v>2689</v>
      </c>
      <c r="AB13" s="33">
        <v>1754</v>
      </c>
      <c r="AC13" s="33">
        <v>2423</v>
      </c>
      <c r="AD13" s="33">
        <v>1432</v>
      </c>
      <c r="AE13" s="33">
        <v>1779</v>
      </c>
      <c r="AF13" s="33">
        <v>1543</v>
      </c>
      <c r="AG13" s="33">
        <v>1486</v>
      </c>
      <c r="AH13" s="33">
        <v>1419</v>
      </c>
      <c r="AI13" s="33">
        <v>1901</v>
      </c>
      <c r="AJ13" s="33">
        <v>922</v>
      </c>
      <c r="AK13" s="33">
        <v>966</v>
      </c>
      <c r="AL13" s="33">
        <v>1147</v>
      </c>
      <c r="AM13" s="33">
        <v>1247</v>
      </c>
      <c r="AN13" s="33">
        <v>1371</v>
      </c>
      <c r="AO13" s="33">
        <v>1441</v>
      </c>
      <c r="AP13" s="33">
        <v>1120</v>
      </c>
      <c r="AQ13" s="33">
        <v>1638</v>
      </c>
      <c r="AR13" s="33">
        <v>1876</v>
      </c>
      <c r="AS13" s="33">
        <v>2114</v>
      </c>
      <c r="AT13" s="33">
        <v>1205</v>
      </c>
      <c r="AU13" s="33">
        <v>1682</v>
      </c>
      <c r="AV13" s="33">
        <v>822</v>
      </c>
      <c r="AW13" s="33">
        <v>988</v>
      </c>
      <c r="AX13" s="33">
        <v>1117</v>
      </c>
      <c r="AY13" s="33">
        <v>1705</v>
      </c>
      <c r="AZ13" s="33">
        <v>1156</v>
      </c>
      <c r="BA13" s="33">
        <v>1139</v>
      </c>
      <c r="BB13" s="33">
        <v>992</v>
      </c>
      <c r="BC13" s="33">
        <v>1086</v>
      </c>
      <c r="BD13" s="33">
        <v>1806</v>
      </c>
      <c r="BE13" s="33">
        <v>1010</v>
      </c>
      <c r="BF13" s="33">
        <v>1652</v>
      </c>
      <c r="BG13" s="33">
        <v>932</v>
      </c>
      <c r="BH13" s="33">
        <v>814</v>
      </c>
      <c r="BI13" s="33">
        <v>990</v>
      </c>
      <c r="BJ13" s="33">
        <v>1264</v>
      </c>
      <c r="BK13" s="33">
        <v>1586</v>
      </c>
      <c r="BL13" s="34">
        <v>1221</v>
      </c>
      <c r="BM13" s="33">
        <v>1655</v>
      </c>
      <c r="BN13" s="33">
        <v>1464</v>
      </c>
      <c r="BO13" s="33">
        <v>2008</v>
      </c>
      <c r="BP13" s="33">
        <v>1267</v>
      </c>
      <c r="BQ13" s="33">
        <v>1327</v>
      </c>
      <c r="BR13" s="33">
        <v>1567</v>
      </c>
      <c r="BS13" s="33">
        <v>1101</v>
      </c>
      <c r="BT13" s="33">
        <v>875</v>
      </c>
      <c r="BU13" s="33">
        <v>962</v>
      </c>
      <c r="BV13" s="33">
        <v>1128</v>
      </c>
      <c r="BW13" s="33">
        <v>1062</v>
      </c>
      <c r="BX13" s="33">
        <v>1361</v>
      </c>
      <c r="BY13" s="33">
        <v>1060</v>
      </c>
      <c r="BZ13" s="33">
        <v>464</v>
      </c>
      <c r="CA13" s="33">
        <v>624</v>
      </c>
      <c r="CB13" s="33">
        <v>956</v>
      </c>
      <c r="CC13" s="32">
        <v>801</v>
      </c>
      <c r="CD13" s="32">
        <v>1167</v>
      </c>
      <c r="CE13" s="32">
        <v>730</v>
      </c>
      <c r="CF13" s="32">
        <v>565</v>
      </c>
      <c r="CG13" s="32">
        <v>1286</v>
      </c>
      <c r="CH13" s="34">
        <v>1118</v>
      </c>
      <c r="CI13" s="35">
        <v>746</v>
      </c>
      <c r="CJ13" s="34">
        <v>821</v>
      </c>
      <c r="CK13" s="34">
        <v>725</v>
      </c>
      <c r="CL13" s="34">
        <v>581</v>
      </c>
      <c r="CM13" s="34">
        <v>685</v>
      </c>
      <c r="CN13" s="34">
        <v>979</v>
      </c>
      <c r="CO13" s="34">
        <v>506</v>
      </c>
      <c r="CP13" s="34">
        <v>797</v>
      </c>
      <c r="CQ13" s="34">
        <v>752</v>
      </c>
      <c r="CR13" s="34">
        <v>348</v>
      </c>
      <c r="CS13" s="34">
        <v>317</v>
      </c>
      <c r="CT13" s="34">
        <v>410</v>
      </c>
      <c r="CU13" s="34">
        <v>874</v>
      </c>
      <c r="CV13" s="34">
        <v>886</v>
      </c>
      <c r="CW13" s="34">
        <v>1865</v>
      </c>
      <c r="CX13" s="34">
        <v>1200</v>
      </c>
      <c r="CY13" s="34">
        <v>907</v>
      </c>
      <c r="CZ13" s="34">
        <v>1264</v>
      </c>
      <c r="DA13" s="34">
        <v>1138</v>
      </c>
      <c r="DB13" s="34">
        <v>1156</v>
      </c>
      <c r="DC13" s="34">
        <v>919</v>
      </c>
      <c r="DD13" s="34">
        <v>623</v>
      </c>
      <c r="DE13" s="34">
        <v>891</v>
      </c>
      <c r="DF13" s="34">
        <v>1234</v>
      </c>
      <c r="DG13" s="34">
        <v>636</v>
      </c>
      <c r="DH13" s="34">
        <v>978</v>
      </c>
      <c r="DI13" s="34">
        <v>1175</v>
      </c>
      <c r="DJ13" s="34">
        <v>1044</v>
      </c>
      <c r="DK13" s="34">
        <v>710</v>
      </c>
      <c r="DL13" s="34">
        <v>557</v>
      </c>
      <c r="DM13" s="34">
        <v>616</v>
      </c>
      <c r="DN13" s="34">
        <v>503</v>
      </c>
      <c r="DO13" s="34">
        <v>429</v>
      </c>
      <c r="DP13" s="34">
        <v>591</v>
      </c>
      <c r="DQ13" s="34">
        <v>745</v>
      </c>
      <c r="DR13" s="34">
        <v>543</v>
      </c>
      <c r="DS13" s="34">
        <v>892</v>
      </c>
      <c r="DT13" s="34">
        <v>798</v>
      </c>
      <c r="DU13" s="34">
        <v>829</v>
      </c>
      <c r="DV13" s="34">
        <v>676</v>
      </c>
      <c r="DW13" s="34">
        <v>814</v>
      </c>
      <c r="DX13" s="34">
        <v>1097</v>
      </c>
      <c r="DY13" s="34">
        <v>845</v>
      </c>
      <c r="DZ13" s="34">
        <v>815</v>
      </c>
      <c r="EA13" s="34">
        <v>534</v>
      </c>
      <c r="EB13" s="34">
        <v>713</v>
      </c>
      <c r="EC13" s="34">
        <v>743</v>
      </c>
      <c r="ED13" s="34">
        <v>760</v>
      </c>
      <c r="EE13" s="34">
        <v>854</v>
      </c>
      <c r="EF13" s="34">
        <v>795</v>
      </c>
      <c r="EG13" s="34">
        <v>797</v>
      </c>
      <c r="EH13" s="34">
        <v>657</v>
      </c>
      <c r="EI13" s="34">
        <v>685</v>
      </c>
      <c r="EJ13" s="34">
        <v>792</v>
      </c>
      <c r="EK13" s="34">
        <v>723</v>
      </c>
      <c r="EL13" s="34">
        <v>590</v>
      </c>
      <c r="EM13" s="34">
        <v>506</v>
      </c>
      <c r="EN13" s="34">
        <v>759</v>
      </c>
      <c r="EO13" s="34">
        <v>954</v>
      </c>
      <c r="EP13" s="34">
        <v>910</v>
      </c>
      <c r="EQ13" s="34">
        <v>500</v>
      </c>
      <c r="ER13" s="34">
        <v>496</v>
      </c>
      <c r="ES13" s="34">
        <v>552</v>
      </c>
      <c r="ET13" s="34">
        <v>614</v>
      </c>
      <c r="EU13" s="34">
        <v>503</v>
      </c>
      <c r="EV13" s="34">
        <v>442</v>
      </c>
      <c r="EW13" s="34">
        <v>481</v>
      </c>
      <c r="EX13" s="34">
        <v>391</v>
      </c>
    </row>
    <row r="14" spans="1:166" ht="18.75" customHeight="1">
      <c r="A14" s="31" t="str">
        <f>"9"</f>
        <v>9</v>
      </c>
      <c r="B14" s="32" t="s">
        <v>145</v>
      </c>
      <c r="C14" s="33">
        <v>7614</v>
      </c>
      <c r="D14" s="33">
        <v>8522</v>
      </c>
      <c r="E14" s="33">
        <v>9834</v>
      </c>
      <c r="F14" s="33">
        <v>11282</v>
      </c>
      <c r="G14" s="33">
        <v>8874</v>
      </c>
      <c r="H14" s="33">
        <v>13381</v>
      </c>
      <c r="I14" s="33">
        <v>10942</v>
      </c>
      <c r="J14" s="33">
        <v>16931</v>
      </c>
      <c r="K14" s="33">
        <v>19993</v>
      </c>
      <c r="L14" s="33">
        <v>9070</v>
      </c>
      <c r="M14" s="33">
        <v>11376</v>
      </c>
      <c r="N14" s="33">
        <v>9769</v>
      </c>
      <c r="O14" s="33">
        <v>9654</v>
      </c>
      <c r="P14" s="33">
        <v>11079</v>
      </c>
      <c r="Q14" s="33">
        <v>11380</v>
      </c>
      <c r="R14" s="33">
        <v>11140</v>
      </c>
      <c r="S14" s="33">
        <v>12288</v>
      </c>
      <c r="T14" s="33">
        <v>15050</v>
      </c>
      <c r="U14" s="33">
        <v>18036</v>
      </c>
      <c r="V14" s="33">
        <v>12098</v>
      </c>
      <c r="W14" s="33">
        <v>13351</v>
      </c>
      <c r="X14" s="33">
        <v>9316</v>
      </c>
      <c r="Y14" s="33">
        <v>11960</v>
      </c>
      <c r="Z14" s="33">
        <v>10422</v>
      </c>
      <c r="AA14" s="33">
        <v>9911</v>
      </c>
      <c r="AB14" s="33">
        <v>10779</v>
      </c>
      <c r="AC14" s="33">
        <v>13846</v>
      </c>
      <c r="AD14" s="33">
        <v>12025</v>
      </c>
      <c r="AE14" s="33">
        <v>12637</v>
      </c>
      <c r="AF14" s="33">
        <v>11626</v>
      </c>
      <c r="AG14" s="33">
        <v>10764</v>
      </c>
      <c r="AH14" s="33">
        <v>10019</v>
      </c>
      <c r="AI14" s="33">
        <v>10209</v>
      </c>
      <c r="AJ14" s="33">
        <v>5652</v>
      </c>
      <c r="AK14" s="33">
        <v>7082</v>
      </c>
      <c r="AL14" s="33">
        <v>6458</v>
      </c>
      <c r="AM14" s="33">
        <v>8776</v>
      </c>
      <c r="AN14" s="33">
        <v>8204</v>
      </c>
      <c r="AO14" s="33">
        <v>9715</v>
      </c>
      <c r="AP14" s="33">
        <v>9466</v>
      </c>
      <c r="AQ14" s="33">
        <v>12471</v>
      </c>
      <c r="AR14" s="33">
        <v>13983</v>
      </c>
      <c r="AS14" s="33">
        <v>10958</v>
      </c>
      <c r="AT14" s="33">
        <v>9870</v>
      </c>
      <c r="AU14" s="33">
        <v>10134</v>
      </c>
      <c r="AV14" s="33">
        <v>6059</v>
      </c>
      <c r="AW14" s="33">
        <v>7944</v>
      </c>
      <c r="AX14" s="33">
        <v>6678</v>
      </c>
      <c r="AY14" s="33">
        <v>7702</v>
      </c>
      <c r="AZ14" s="33">
        <v>8076</v>
      </c>
      <c r="BA14" s="33">
        <v>8629</v>
      </c>
      <c r="BB14" s="33">
        <v>8830</v>
      </c>
      <c r="BC14" s="33">
        <v>10920</v>
      </c>
      <c r="BD14" s="33">
        <v>7463</v>
      </c>
      <c r="BE14" s="33">
        <v>6725</v>
      </c>
      <c r="BF14" s="33">
        <v>6643</v>
      </c>
      <c r="BG14" s="33">
        <v>8665</v>
      </c>
      <c r="BH14" s="33">
        <v>6062</v>
      </c>
      <c r="BI14" s="33">
        <v>5951</v>
      </c>
      <c r="BJ14" s="33">
        <v>6640</v>
      </c>
      <c r="BK14" s="33">
        <v>7877</v>
      </c>
      <c r="BL14" s="34">
        <v>9326</v>
      </c>
      <c r="BM14" s="33">
        <v>11119</v>
      </c>
      <c r="BN14" s="33">
        <v>13838</v>
      </c>
      <c r="BO14" s="33">
        <v>10588</v>
      </c>
      <c r="BP14" s="33">
        <v>8323</v>
      </c>
      <c r="BQ14" s="33">
        <v>8287</v>
      </c>
      <c r="BR14" s="33">
        <v>10152</v>
      </c>
      <c r="BS14" s="33">
        <v>6475</v>
      </c>
      <c r="BT14" s="33">
        <v>6248</v>
      </c>
      <c r="BU14" s="33">
        <v>7177</v>
      </c>
      <c r="BV14" s="33">
        <v>6608</v>
      </c>
      <c r="BW14" s="33">
        <v>6982</v>
      </c>
      <c r="BX14" s="33">
        <v>7491</v>
      </c>
      <c r="BY14" s="33">
        <v>9312</v>
      </c>
      <c r="BZ14" s="33">
        <v>3711</v>
      </c>
      <c r="CA14" s="33">
        <v>6183</v>
      </c>
      <c r="CB14" s="33">
        <v>9757</v>
      </c>
      <c r="CC14" s="32">
        <v>9071</v>
      </c>
      <c r="CD14" s="32">
        <v>11994</v>
      </c>
      <c r="CE14" s="32">
        <v>8329</v>
      </c>
      <c r="CF14" s="32">
        <v>7227</v>
      </c>
      <c r="CG14" s="32">
        <v>20216</v>
      </c>
      <c r="CH14" s="34">
        <v>15725</v>
      </c>
      <c r="CI14" s="35">
        <v>11772</v>
      </c>
      <c r="CJ14" s="34">
        <v>12888</v>
      </c>
      <c r="CK14" s="34">
        <v>10741</v>
      </c>
      <c r="CL14" s="34">
        <v>7926</v>
      </c>
      <c r="CM14" s="34">
        <v>10751</v>
      </c>
      <c r="CN14" s="34">
        <v>13009</v>
      </c>
      <c r="CO14" s="34">
        <v>10337</v>
      </c>
      <c r="CP14" s="34">
        <v>11477</v>
      </c>
      <c r="CQ14" s="34">
        <v>11348</v>
      </c>
      <c r="CR14" s="34">
        <v>4804</v>
      </c>
      <c r="CS14" s="34">
        <v>7156</v>
      </c>
      <c r="CT14" s="34">
        <v>7572</v>
      </c>
      <c r="CU14" s="34">
        <v>7328</v>
      </c>
      <c r="CV14" s="34">
        <v>11985</v>
      </c>
      <c r="CW14" s="34">
        <v>12376</v>
      </c>
      <c r="CX14" s="34">
        <v>10644</v>
      </c>
      <c r="CY14" s="34">
        <v>13295</v>
      </c>
      <c r="CZ14" s="34">
        <v>12293</v>
      </c>
      <c r="DA14" s="34">
        <v>9942</v>
      </c>
      <c r="DB14" s="34">
        <v>10905</v>
      </c>
      <c r="DC14" s="34">
        <v>11836</v>
      </c>
      <c r="DD14" s="34">
        <v>6409</v>
      </c>
      <c r="DE14" s="34">
        <v>8728</v>
      </c>
      <c r="DF14" s="34">
        <v>8493</v>
      </c>
      <c r="DG14" s="34">
        <v>8167</v>
      </c>
      <c r="DH14" s="34">
        <v>8273</v>
      </c>
      <c r="DI14" s="34">
        <v>8707</v>
      </c>
      <c r="DJ14" s="34">
        <v>7692</v>
      </c>
      <c r="DK14" s="34">
        <v>7390</v>
      </c>
      <c r="DL14" s="34">
        <v>7030</v>
      </c>
      <c r="DM14" s="34">
        <v>6823</v>
      </c>
      <c r="DN14" s="34">
        <v>6261</v>
      </c>
      <c r="DO14" s="34">
        <v>4806</v>
      </c>
      <c r="DP14" s="34">
        <v>5240</v>
      </c>
      <c r="DQ14" s="34">
        <v>5832</v>
      </c>
      <c r="DR14" s="34">
        <v>5696</v>
      </c>
      <c r="DS14" s="34">
        <v>6576</v>
      </c>
      <c r="DT14" s="34">
        <v>7472</v>
      </c>
      <c r="DU14" s="34">
        <v>6749</v>
      </c>
      <c r="DV14" s="34">
        <v>6696</v>
      </c>
      <c r="DW14" s="34">
        <v>7160</v>
      </c>
      <c r="DX14" s="34">
        <v>8297</v>
      </c>
      <c r="DY14" s="34">
        <v>9101</v>
      </c>
      <c r="DZ14" s="34">
        <v>7444</v>
      </c>
      <c r="EA14" s="34">
        <v>6469</v>
      </c>
      <c r="EB14" s="34">
        <v>6004</v>
      </c>
      <c r="EC14" s="34">
        <v>6733</v>
      </c>
      <c r="ED14" s="34">
        <v>6875</v>
      </c>
      <c r="EE14" s="34">
        <v>6741</v>
      </c>
      <c r="EF14" s="34">
        <v>7378</v>
      </c>
      <c r="EG14" s="34">
        <v>7417</v>
      </c>
      <c r="EH14" s="34">
        <v>7439</v>
      </c>
      <c r="EI14" s="34">
        <v>6943</v>
      </c>
      <c r="EJ14" s="34">
        <v>8584</v>
      </c>
      <c r="EK14" s="34">
        <f>2+6669</f>
        <v>6671</v>
      </c>
      <c r="EL14" s="34">
        <f>3+5507</f>
        <v>5510</v>
      </c>
      <c r="EM14" s="34">
        <f>1+3589</f>
        <v>3590</v>
      </c>
      <c r="EN14" s="34">
        <f>5+6306</f>
        <v>6311</v>
      </c>
      <c r="EO14" s="34">
        <f>2+7309</f>
        <v>7311</v>
      </c>
      <c r="EP14" s="34">
        <v>8569</v>
      </c>
      <c r="EQ14" s="34">
        <v>7032</v>
      </c>
      <c r="ER14" s="34">
        <f>10+7745</f>
        <v>7755</v>
      </c>
      <c r="ES14" s="34">
        <v>7946</v>
      </c>
      <c r="ET14" s="34">
        <v>7396</v>
      </c>
      <c r="EU14" s="34">
        <v>7335</v>
      </c>
      <c r="EV14" s="34">
        <f>2+6883</f>
        <v>6885</v>
      </c>
      <c r="EW14" s="34">
        <v>5757</v>
      </c>
      <c r="EX14" s="34">
        <v>4363</v>
      </c>
    </row>
    <row r="15" spans="1:166" ht="18.75" customHeight="1">
      <c r="A15" s="31">
        <v>0</v>
      </c>
      <c r="B15" s="32" t="s">
        <v>146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4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>
        <v>1</v>
      </c>
      <c r="CA15" s="33"/>
      <c r="CB15" s="33"/>
      <c r="CC15" s="32"/>
      <c r="CD15" s="32"/>
      <c r="CE15" s="32"/>
      <c r="CF15" s="32"/>
      <c r="CG15" s="32"/>
      <c r="CH15" s="32"/>
      <c r="CI15" s="36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spans="1:166" ht="18.75" customHeight="1">
      <c r="A16" s="31" t="str">
        <f>"T"</f>
        <v>T</v>
      </c>
      <c r="B16" s="32" t="s">
        <v>147</v>
      </c>
      <c r="C16" s="33">
        <v>4</v>
      </c>
      <c r="D16" s="33">
        <v>5</v>
      </c>
      <c r="E16" s="33">
        <v>5</v>
      </c>
      <c r="F16" s="33">
        <v>81</v>
      </c>
      <c r="G16" s="33">
        <v>1</v>
      </c>
      <c r="H16" s="33">
        <v>3</v>
      </c>
      <c r="I16" s="33">
        <v>5</v>
      </c>
      <c r="J16" s="33">
        <v>0</v>
      </c>
      <c r="K16" s="33">
        <v>20</v>
      </c>
      <c r="L16" s="33">
        <v>1</v>
      </c>
      <c r="M16" s="33">
        <v>1</v>
      </c>
      <c r="N16" s="33">
        <v>31</v>
      </c>
      <c r="O16" s="33">
        <v>19</v>
      </c>
      <c r="P16" s="33">
        <v>13</v>
      </c>
      <c r="Q16" s="33">
        <v>17</v>
      </c>
      <c r="R16" s="33">
        <v>36</v>
      </c>
      <c r="S16" s="33">
        <v>27</v>
      </c>
      <c r="T16" s="33">
        <v>20</v>
      </c>
      <c r="U16" s="33">
        <v>29</v>
      </c>
      <c r="V16" s="33">
        <v>1</v>
      </c>
      <c r="W16" s="33">
        <v>20</v>
      </c>
      <c r="X16" s="33">
        <v>5</v>
      </c>
      <c r="Y16" s="33">
        <v>22</v>
      </c>
      <c r="Z16" s="33">
        <v>15</v>
      </c>
      <c r="AA16" s="33">
        <v>7</v>
      </c>
      <c r="AB16" s="33">
        <v>11</v>
      </c>
      <c r="AC16" s="33">
        <v>3</v>
      </c>
      <c r="AD16" s="33">
        <v>18</v>
      </c>
      <c r="AE16" s="33">
        <v>2</v>
      </c>
      <c r="AF16" s="33">
        <v>75</v>
      </c>
      <c r="AG16" s="33">
        <v>0</v>
      </c>
      <c r="AH16" s="33">
        <v>3</v>
      </c>
      <c r="AI16" s="33">
        <v>1</v>
      </c>
      <c r="AJ16" s="33">
        <v>0</v>
      </c>
      <c r="AK16" s="33">
        <v>1</v>
      </c>
      <c r="AL16" s="33">
        <v>4</v>
      </c>
      <c r="AM16" s="33">
        <v>5</v>
      </c>
      <c r="AN16" s="33">
        <v>10</v>
      </c>
      <c r="AO16" s="33">
        <v>9</v>
      </c>
      <c r="AP16" s="33">
        <v>15</v>
      </c>
      <c r="AQ16" s="33">
        <v>6</v>
      </c>
      <c r="AR16" s="33">
        <v>4</v>
      </c>
      <c r="AS16" s="33">
        <v>2</v>
      </c>
      <c r="AT16" s="33">
        <v>14</v>
      </c>
      <c r="AU16" s="33">
        <v>1</v>
      </c>
      <c r="AV16" s="33">
        <v>0</v>
      </c>
      <c r="AW16" s="33">
        <v>1</v>
      </c>
      <c r="AX16" s="33">
        <v>0</v>
      </c>
      <c r="AY16" s="33">
        <v>40</v>
      </c>
      <c r="AZ16" s="33">
        <v>20</v>
      </c>
      <c r="BA16" s="33">
        <v>92</v>
      </c>
      <c r="BB16" s="33">
        <v>77</v>
      </c>
      <c r="BC16" s="33">
        <v>81</v>
      </c>
      <c r="BD16" s="33">
        <v>0</v>
      </c>
      <c r="BE16" s="33">
        <v>0</v>
      </c>
      <c r="BF16" s="33">
        <v>0</v>
      </c>
      <c r="BG16" s="33">
        <v>2</v>
      </c>
      <c r="BH16" s="33">
        <v>0</v>
      </c>
      <c r="BI16" s="33">
        <v>2</v>
      </c>
      <c r="BJ16" s="33">
        <v>15</v>
      </c>
      <c r="BK16" s="33">
        <v>22</v>
      </c>
      <c r="BL16" s="34">
        <v>197</v>
      </c>
      <c r="BM16" s="33">
        <v>504</v>
      </c>
      <c r="BN16" s="33">
        <v>51</v>
      </c>
      <c r="BO16" s="33">
        <v>79</v>
      </c>
      <c r="BP16" s="33">
        <v>14</v>
      </c>
      <c r="BQ16" s="33">
        <v>6</v>
      </c>
      <c r="BR16" s="33">
        <v>64</v>
      </c>
      <c r="BS16" s="33">
        <v>0</v>
      </c>
      <c r="BT16" s="33">
        <v>0</v>
      </c>
      <c r="BU16" s="33">
        <v>0</v>
      </c>
      <c r="BV16" s="33">
        <v>1</v>
      </c>
      <c r="BW16" s="33">
        <v>1</v>
      </c>
      <c r="BX16" s="33">
        <v>0</v>
      </c>
      <c r="BY16" s="33">
        <v>1</v>
      </c>
      <c r="BZ16" s="33"/>
      <c r="CA16" s="33">
        <v>3</v>
      </c>
      <c r="CB16" s="33">
        <v>2</v>
      </c>
      <c r="CC16" s="32"/>
      <c r="CD16" s="32">
        <v>12</v>
      </c>
      <c r="CE16" s="32"/>
      <c r="CF16" s="32"/>
      <c r="CG16" s="32"/>
      <c r="CH16" s="32"/>
      <c r="CI16" s="36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spans="1:154" ht="18.75" customHeight="1">
      <c r="A17" s="37" t="s">
        <v>148</v>
      </c>
      <c r="B17" s="38" t="s">
        <v>149</v>
      </c>
      <c r="C17" s="33">
        <v>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0</v>
      </c>
      <c r="BO17" s="33">
        <v>0</v>
      </c>
      <c r="BP17" s="33">
        <v>0</v>
      </c>
      <c r="BQ17" s="33">
        <v>0</v>
      </c>
      <c r="BR17" s="33">
        <v>0</v>
      </c>
      <c r="BS17" s="33">
        <v>0</v>
      </c>
      <c r="BT17" s="33">
        <v>0</v>
      </c>
      <c r="BU17" s="33">
        <v>0</v>
      </c>
      <c r="BV17" s="33">
        <v>0</v>
      </c>
      <c r="BW17" s="33">
        <v>0</v>
      </c>
      <c r="BX17" s="33">
        <v>0</v>
      </c>
      <c r="BY17" s="33">
        <v>0</v>
      </c>
      <c r="BZ17" s="33">
        <v>0</v>
      </c>
      <c r="CA17" s="33">
        <v>1</v>
      </c>
      <c r="CB17" s="33"/>
      <c r="CC17" s="32"/>
      <c r="CD17" s="32"/>
      <c r="CE17" s="32">
        <v>1</v>
      </c>
      <c r="CF17" s="32"/>
      <c r="CG17" s="32">
        <v>1</v>
      </c>
      <c r="CH17" s="32"/>
      <c r="CI17" s="36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spans="1:154" ht="18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</row>
    <row r="19" spans="1:154" ht="18.75" customHeight="1">
      <c r="A19" s="25" t="s">
        <v>150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</row>
    <row r="20" spans="1:154" ht="18.75" customHeight="1">
      <c r="A20" s="25" t="s">
        <v>151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</row>
    <row r="21" spans="1:154" ht="18.75" customHeight="1">
      <c r="A21" s="25" t="s">
        <v>152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</row>
    <row r="22" spans="1:154" ht="18.75" customHeight="1">
      <c r="A22" s="25" t="s">
        <v>153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</row>
    <row r="23" spans="1:154" ht="18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</row>
    <row r="24" spans="1:154" ht="18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</row>
    <row r="25" spans="1:154" ht="18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</row>
    <row r="26" spans="1:154" ht="18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</row>
    <row r="27" spans="1:154" ht="18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</row>
    <row r="28" spans="1:154" ht="18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</row>
    <row r="29" spans="1:154" ht="18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</row>
    <row r="30" spans="1:154" ht="18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</row>
    <row r="31" spans="1:154" ht="18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</row>
    <row r="32" spans="1:154" ht="18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</row>
    <row r="33" spans="1:135" ht="18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</row>
    <row r="34" spans="1:135" ht="18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</row>
    <row r="35" spans="1:135" ht="18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</row>
    <row r="36" spans="1:135" ht="18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</row>
    <row r="37" spans="1:135" ht="18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</row>
    <row r="38" spans="1:135" ht="18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</row>
    <row r="39" spans="1:135" ht="18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</row>
    <row r="40" spans="1:135" ht="18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</row>
    <row r="41" spans="1:135" ht="18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</row>
    <row r="42" spans="1:135" ht="18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</row>
    <row r="43" spans="1:135" ht="18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</row>
    <row r="44" spans="1:135" ht="18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</row>
    <row r="45" spans="1:135" ht="18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</row>
    <row r="46" spans="1:135" ht="18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</row>
    <row r="47" spans="1:135" ht="18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</row>
    <row r="48" spans="1:135" ht="18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</row>
    <row r="49" spans="1:135" ht="18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</row>
    <row r="50" spans="1:135" ht="18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</row>
    <row r="51" spans="1:135" ht="18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</row>
    <row r="52" spans="1:135" ht="18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</row>
    <row r="53" spans="1:135" ht="18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</row>
    <row r="54" spans="1:135" ht="18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</row>
    <row r="55" spans="1:135" ht="18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</row>
    <row r="56" spans="1:135" ht="18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</row>
    <row r="57" spans="1:135" ht="18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</row>
    <row r="58" spans="1:135" ht="18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</row>
    <row r="59" spans="1:135" ht="18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</row>
    <row r="60" spans="1:135" ht="18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</row>
    <row r="61" spans="1:135" ht="18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</row>
    <row r="62" spans="1:135" ht="18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</row>
    <row r="63" spans="1:135" ht="18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</row>
    <row r="64" spans="1:135" ht="18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</row>
    <row r="65" spans="1:135" ht="18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</row>
    <row r="66" spans="1:135" ht="18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</row>
    <row r="67" spans="1:135" ht="18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</row>
    <row r="68" spans="1:135" ht="18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</row>
    <row r="69" spans="1:135" ht="18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</row>
    <row r="70" spans="1:135" ht="18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</row>
    <row r="71" spans="1:135" ht="18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</row>
    <row r="72" spans="1:135" ht="18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</row>
    <row r="73" spans="1:135" ht="18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</row>
    <row r="74" spans="1:135" ht="18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</row>
    <row r="75" spans="1:135" ht="18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</row>
    <row r="76" spans="1:135" ht="18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</row>
    <row r="77" spans="1:135" ht="18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</row>
    <row r="78" spans="1:135" ht="18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</row>
    <row r="79" spans="1:135" ht="18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</row>
    <row r="80" spans="1:135" ht="18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</row>
    <row r="81" spans="1:135" ht="18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</row>
    <row r="82" spans="1:135" ht="18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</row>
    <row r="83" spans="1:135" ht="18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</row>
    <row r="84" spans="1:135" ht="18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</row>
    <row r="85" spans="1:135" ht="18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</row>
    <row r="86" spans="1:135" ht="18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</row>
    <row r="87" spans="1:135" ht="18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</row>
    <row r="88" spans="1:135" ht="18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</row>
    <row r="89" spans="1:135" ht="18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</row>
    <row r="90" spans="1:135" ht="18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</row>
    <row r="91" spans="1:135" ht="18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</row>
    <row r="92" spans="1:135" ht="18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</row>
    <row r="93" spans="1:135" ht="18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</row>
    <row r="94" spans="1:135" ht="18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</row>
    <row r="95" spans="1:135" ht="18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</row>
    <row r="96" spans="1:135" ht="18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</row>
    <row r="97" spans="1:135" ht="18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</row>
    <row r="98" spans="1:135" ht="18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</row>
    <row r="99" spans="1:135" ht="18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</row>
    <row r="100" spans="1:135" ht="18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</row>
    <row r="101" spans="1:135" ht="18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</row>
    <row r="102" spans="1:135" ht="18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</row>
    <row r="103" spans="1:135" ht="18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</row>
    <row r="104" spans="1:135" ht="18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</row>
    <row r="105" spans="1:135" ht="18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</row>
    <row r="106" spans="1:135" ht="18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</row>
    <row r="107" spans="1:135" ht="18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</row>
    <row r="108" spans="1:135" ht="18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</row>
    <row r="109" spans="1:135" ht="18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</row>
    <row r="110" spans="1:135" ht="18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</row>
    <row r="111" spans="1:135" ht="18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</row>
    <row r="112" spans="1:135" ht="18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</row>
    <row r="113" spans="1:135" ht="18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</row>
    <row r="114" spans="1:135" ht="18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</row>
    <row r="115" spans="1:135" ht="18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</row>
    <row r="116" spans="1:135" ht="18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</row>
    <row r="117" spans="1:135" ht="18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</row>
    <row r="118" spans="1:135" ht="18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</row>
    <row r="119" spans="1:135" ht="18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</row>
    <row r="120" spans="1:135" ht="18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</row>
    <row r="121" spans="1:135" ht="18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</row>
    <row r="122" spans="1:135" ht="18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</row>
    <row r="123" spans="1:135" ht="18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</row>
    <row r="124" spans="1:135" ht="18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</row>
    <row r="125" spans="1:135" ht="18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</row>
    <row r="126" spans="1:135" ht="18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</row>
    <row r="127" spans="1:135" ht="18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</row>
    <row r="128" spans="1:135" ht="18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</row>
    <row r="129" spans="1:135" ht="18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</row>
    <row r="130" spans="1:135" ht="18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</row>
    <row r="131" spans="1:135" ht="18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</row>
    <row r="132" spans="1:135" ht="18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</row>
    <row r="133" spans="1:135" ht="18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</row>
    <row r="134" spans="1:135" ht="18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</row>
    <row r="135" spans="1:135" ht="18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</row>
    <row r="136" spans="1:135" ht="18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</row>
    <row r="137" spans="1:135" ht="18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</row>
    <row r="138" spans="1:135" ht="18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</row>
    <row r="139" spans="1:135" ht="18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</row>
    <row r="140" spans="1:135" ht="18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</row>
    <row r="141" spans="1:135" ht="18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</row>
    <row r="142" spans="1:135" ht="18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</row>
    <row r="143" spans="1:135" ht="18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</row>
    <row r="144" spans="1:135" ht="18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</row>
    <row r="145" spans="1:135" ht="18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</row>
    <row r="146" spans="1:135" ht="18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</row>
    <row r="147" spans="1:135" ht="18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</row>
    <row r="148" spans="1:135" ht="18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</row>
    <row r="149" spans="1:135" ht="18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</row>
    <row r="150" spans="1:135" ht="18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</row>
    <row r="151" spans="1:135" ht="18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</row>
    <row r="152" spans="1:135" ht="18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</row>
    <row r="153" spans="1:135" ht="18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</row>
    <row r="154" spans="1:135" ht="18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</row>
    <row r="155" spans="1:135" ht="18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</row>
    <row r="156" spans="1:135" ht="18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</row>
    <row r="157" spans="1:135" ht="18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</row>
    <row r="158" spans="1:135" ht="18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</row>
    <row r="159" spans="1:135" ht="18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</row>
    <row r="160" spans="1:135" ht="18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</row>
    <row r="161" spans="1:135" ht="18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</row>
    <row r="162" spans="1:135" ht="18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</row>
    <row r="163" spans="1:135" ht="18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</row>
    <row r="164" spans="1:135" ht="18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</row>
    <row r="165" spans="1:135" ht="18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</row>
    <row r="166" spans="1:135" ht="18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</row>
    <row r="167" spans="1:135" ht="18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</row>
    <row r="168" spans="1:135" ht="18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</row>
    <row r="169" spans="1:135" ht="18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</row>
    <row r="170" spans="1:135" ht="18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</row>
    <row r="171" spans="1:135" ht="18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</row>
    <row r="172" spans="1:135" ht="18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</row>
    <row r="173" spans="1:135" ht="18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</row>
    <row r="174" spans="1:135" ht="18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</row>
    <row r="175" spans="1:135" ht="18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</row>
    <row r="176" spans="1:135" ht="18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</row>
    <row r="177" spans="1:135" ht="18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</row>
    <row r="178" spans="1:135" ht="18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</row>
    <row r="179" spans="1:135" ht="18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</row>
    <row r="180" spans="1:135" ht="18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</row>
    <row r="181" spans="1:135" ht="18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</row>
    <row r="182" spans="1:135" ht="18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</row>
    <row r="183" spans="1:135" ht="18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</row>
    <row r="184" spans="1:135" ht="18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</row>
    <row r="185" spans="1:135" ht="18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</row>
    <row r="186" spans="1:135" ht="18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</row>
    <row r="187" spans="1:135" ht="18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</row>
    <row r="188" spans="1:135" ht="18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</row>
    <row r="189" spans="1:135" ht="18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</row>
    <row r="190" spans="1:135" ht="18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</row>
    <row r="191" spans="1:135" ht="18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</row>
    <row r="192" spans="1:135" ht="18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</row>
    <row r="193" spans="1:135" ht="18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</row>
    <row r="194" spans="1:135" ht="18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</row>
    <row r="195" spans="1:135" ht="18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</row>
    <row r="196" spans="1:135" ht="18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</row>
    <row r="197" spans="1:135" ht="18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</row>
    <row r="198" spans="1:135" ht="18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</row>
    <row r="199" spans="1:135" ht="18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</row>
    <row r="200" spans="1:135" ht="18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</row>
    <row r="201" spans="1:135" ht="18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</row>
    <row r="202" spans="1:135" ht="18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</row>
    <row r="203" spans="1:135" ht="18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</row>
    <row r="204" spans="1:135" ht="18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</row>
    <row r="205" spans="1:135" ht="18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</row>
    <row r="206" spans="1:135" ht="18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</row>
    <row r="207" spans="1:135" ht="18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</row>
    <row r="208" spans="1:135" ht="18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</row>
    <row r="209" spans="1:135" ht="18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</row>
    <row r="210" spans="1:135" ht="18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</row>
    <row r="211" spans="1:135" ht="18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</row>
    <row r="212" spans="1:135" ht="18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</row>
    <row r="213" spans="1:135" ht="18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</row>
    <row r="214" spans="1:135" ht="18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</row>
    <row r="215" spans="1:135" ht="18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</row>
    <row r="216" spans="1:135" ht="18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</row>
    <row r="217" spans="1:135" ht="18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</row>
    <row r="218" spans="1:135" ht="18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</row>
    <row r="219" spans="1:135" ht="18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</row>
    <row r="220" spans="1:135" ht="18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</row>
    <row r="221" spans="1:135" ht="18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</row>
    <row r="222" spans="1:135" ht="18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</row>
    <row r="223" spans="1:135" ht="18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</row>
    <row r="224" spans="1:135" ht="18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</row>
    <row r="225" spans="1:135" ht="18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</row>
    <row r="226" spans="1:135" ht="18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</row>
    <row r="227" spans="1:135" ht="18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</row>
    <row r="228" spans="1:135" ht="18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</row>
    <row r="229" spans="1:135" ht="18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</row>
    <row r="230" spans="1:135" ht="18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</row>
    <row r="231" spans="1:135" ht="18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</row>
    <row r="232" spans="1:135" ht="18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</row>
    <row r="233" spans="1:135" ht="18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</row>
    <row r="234" spans="1:135" ht="18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</row>
    <row r="235" spans="1:135" ht="18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</row>
    <row r="236" spans="1:135" ht="18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</row>
    <row r="237" spans="1:135" ht="18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</row>
    <row r="238" spans="1:135" ht="18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</row>
    <row r="239" spans="1:135" ht="18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</row>
    <row r="240" spans="1:135" ht="18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</row>
    <row r="241" spans="1:135" ht="18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</row>
    <row r="242" spans="1:135" ht="18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</row>
    <row r="243" spans="1:135" ht="18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</row>
    <row r="244" spans="1:135" ht="18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</row>
    <row r="245" spans="1:135" ht="18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</row>
    <row r="246" spans="1:135" ht="18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</row>
    <row r="247" spans="1:135" ht="18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</row>
    <row r="248" spans="1:135" ht="18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</row>
    <row r="249" spans="1:135" ht="18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</row>
    <row r="250" spans="1:135" ht="18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</row>
    <row r="251" spans="1:135" ht="18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</row>
    <row r="252" spans="1:135" ht="18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</row>
    <row r="253" spans="1:135" ht="18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</row>
    <row r="254" spans="1:135" ht="18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</row>
    <row r="255" spans="1:135" ht="18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</row>
    <row r="256" spans="1:135" ht="18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</row>
    <row r="257" spans="1:135" ht="18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</row>
    <row r="258" spans="1:135" ht="18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</row>
    <row r="259" spans="1:135" ht="18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</row>
    <row r="260" spans="1:135" ht="18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</row>
    <row r="261" spans="1:135" ht="18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</row>
    <row r="262" spans="1:135" ht="18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</row>
    <row r="263" spans="1:135" ht="18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</row>
    <row r="264" spans="1:135" ht="18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</row>
    <row r="265" spans="1:135" ht="18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</row>
    <row r="266" spans="1:135" ht="18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</row>
    <row r="267" spans="1:135" ht="18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</row>
    <row r="268" spans="1:135" ht="18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</row>
    <row r="269" spans="1:135" ht="18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</row>
    <row r="270" spans="1:135" ht="18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</row>
    <row r="271" spans="1:135" ht="18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</row>
    <row r="272" spans="1:135" ht="18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</row>
    <row r="273" spans="1:135" ht="18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</row>
    <row r="274" spans="1:135" ht="18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</row>
    <row r="275" spans="1:135" ht="18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</row>
    <row r="276" spans="1:135" ht="18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</row>
    <row r="277" spans="1:135" ht="18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</row>
    <row r="278" spans="1:135" ht="18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</row>
    <row r="279" spans="1:135" ht="18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</row>
    <row r="280" spans="1:135" ht="18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</row>
    <row r="281" spans="1:135" ht="18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</row>
    <row r="282" spans="1:135" ht="18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</row>
    <row r="283" spans="1:135" ht="18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</row>
    <row r="284" spans="1:135" ht="18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</row>
    <row r="285" spans="1:135" ht="18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</row>
    <row r="286" spans="1:135" ht="18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</row>
    <row r="287" spans="1:135" ht="18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</row>
    <row r="288" spans="1:135" ht="18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</row>
    <row r="289" spans="1:135" ht="18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</row>
    <row r="290" spans="1:135" ht="18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</row>
    <row r="291" spans="1:135" ht="18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</row>
    <row r="292" spans="1:135" ht="18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</row>
    <row r="293" spans="1:135" ht="18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</row>
    <row r="294" spans="1:135" ht="18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</row>
    <row r="295" spans="1:135" ht="18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</row>
    <row r="296" spans="1:135" ht="18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</row>
    <row r="297" spans="1:135" ht="18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</row>
    <row r="298" spans="1:135" ht="18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</row>
    <row r="299" spans="1:135" ht="18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</row>
    <row r="300" spans="1:135" ht="18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</row>
    <row r="301" spans="1:135" ht="18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</row>
    <row r="302" spans="1:135" ht="18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</row>
    <row r="303" spans="1:135" ht="18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</row>
    <row r="304" spans="1:135" ht="18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</row>
    <row r="305" spans="1:135" ht="18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</row>
    <row r="306" spans="1:135" ht="18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</row>
    <row r="307" spans="1:135" ht="18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</row>
    <row r="308" spans="1:135" ht="18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</row>
    <row r="309" spans="1:135" ht="18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</row>
    <row r="310" spans="1:135" ht="18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</row>
    <row r="311" spans="1:135" ht="18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</row>
    <row r="312" spans="1:135" ht="18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</row>
    <row r="313" spans="1:135" ht="18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</row>
    <row r="314" spans="1:135" ht="18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</row>
    <row r="315" spans="1:135" ht="18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</row>
    <row r="316" spans="1:135" ht="18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</row>
    <row r="317" spans="1:135" ht="18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</row>
    <row r="318" spans="1:135" ht="18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</row>
    <row r="319" spans="1:135" ht="18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</row>
    <row r="320" spans="1:135" ht="18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</row>
    <row r="321" spans="1:135" ht="18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</row>
    <row r="322" spans="1:135" ht="18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</row>
    <row r="323" spans="1:135" ht="18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</row>
    <row r="324" spans="1:135" ht="18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</row>
    <row r="325" spans="1:135" ht="18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</row>
    <row r="326" spans="1:135" ht="18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</row>
    <row r="327" spans="1:135" ht="18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</row>
    <row r="328" spans="1:135" ht="18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</row>
    <row r="329" spans="1:135" ht="18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</row>
    <row r="330" spans="1:135" ht="18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</row>
    <row r="331" spans="1:135" ht="18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</row>
    <row r="332" spans="1:135" ht="18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</row>
    <row r="333" spans="1:135" ht="18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</row>
    <row r="334" spans="1:135" ht="18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</row>
    <row r="335" spans="1:135" ht="18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</row>
    <row r="336" spans="1:135" ht="18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</row>
    <row r="337" spans="1:135" ht="18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</row>
    <row r="338" spans="1:135" ht="18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</row>
    <row r="339" spans="1:135" ht="18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</row>
    <row r="340" spans="1:135" ht="18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</row>
    <row r="341" spans="1:135" ht="18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</row>
    <row r="342" spans="1:135" ht="18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</row>
    <row r="343" spans="1:135" ht="18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</row>
    <row r="344" spans="1:135" ht="18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</row>
    <row r="345" spans="1:135" ht="18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</row>
    <row r="346" spans="1:135" ht="18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</row>
    <row r="347" spans="1:135" ht="18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</row>
    <row r="348" spans="1:135" ht="18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</row>
    <row r="349" spans="1:135" ht="18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</row>
    <row r="350" spans="1:135" ht="18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</row>
    <row r="351" spans="1:135" ht="18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</row>
    <row r="352" spans="1:135" ht="18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</row>
    <row r="353" spans="1:135" ht="18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</row>
    <row r="354" spans="1:135" ht="18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</row>
    <row r="355" spans="1:135" ht="18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</row>
    <row r="356" spans="1:135" ht="18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</row>
    <row r="357" spans="1:135" ht="18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</row>
    <row r="358" spans="1:135" ht="18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</row>
    <row r="359" spans="1:135" ht="18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</row>
    <row r="360" spans="1:135" ht="18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</row>
    <row r="361" spans="1:135" ht="18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</row>
    <row r="362" spans="1:135" ht="18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</row>
    <row r="363" spans="1:135" ht="18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</row>
    <row r="364" spans="1:135" ht="18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</row>
    <row r="365" spans="1:135" ht="18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</row>
    <row r="366" spans="1:135" ht="18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</row>
    <row r="367" spans="1:135" ht="18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</row>
    <row r="368" spans="1:135" ht="18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</row>
    <row r="369" spans="1:135" ht="18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</row>
    <row r="370" spans="1:135" ht="18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</row>
    <row r="371" spans="1:135" ht="18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</row>
    <row r="372" spans="1:135" ht="18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</row>
    <row r="373" spans="1:135" ht="18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</row>
    <row r="374" spans="1:135" ht="18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</row>
    <row r="375" spans="1:135" ht="18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</row>
    <row r="376" spans="1:135" ht="18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</row>
    <row r="377" spans="1:135" ht="18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</row>
    <row r="378" spans="1:135" ht="18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</row>
    <row r="379" spans="1:135" ht="18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</row>
    <row r="380" spans="1:135" ht="18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</row>
    <row r="381" spans="1:135" ht="18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</row>
    <row r="382" spans="1:135" ht="18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</row>
    <row r="383" spans="1:135" ht="18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</row>
    <row r="384" spans="1:135" ht="18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</row>
    <row r="385" spans="1:135" ht="18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</row>
    <row r="386" spans="1:135" ht="18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</row>
    <row r="387" spans="1:135" ht="18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</row>
    <row r="388" spans="1:135" ht="18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</row>
    <row r="389" spans="1:135" ht="18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</row>
    <row r="390" spans="1:135" ht="18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</row>
    <row r="391" spans="1:135" ht="18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</row>
    <row r="392" spans="1:135" ht="18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</row>
    <row r="393" spans="1:135" ht="18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</row>
    <row r="394" spans="1:135" ht="18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</row>
    <row r="395" spans="1:135" ht="18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</row>
    <row r="396" spans="1:135" ht="18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</row>
    <row r="397" spans="1:135" ht="18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</row>
    <row r="398" spans="1:135" ht="18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</row>
    <row r="399" spans="1:135" ht="18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</row>
    <row r="400" spans="1:135" ht="18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</row>
    <row r="401" spans="1:135" ht="18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</row>
    <row r="402" spans="1:135" ht="18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</row>
    <row r="403" spans="1:135" ht="18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</row>
    <row r="404" spans="1:135" ht="18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</row>
    <row r="405" spans="1:135" ht="18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</row>
    <row r="406" spans="1:135" ht="18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</row>
    <row r="407" spans="1:135" ht="18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</row>
    <row r="408" spans="1:135" ht="18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</row>
    <row r="409" spans="1:135" ht="18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</row>
    <row r="410" spans="1:135" ht="18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</row>
    <row r="411" spans="1:135" ht="18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</row>
    <row r="412" spans="1:135" ht="18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</row>
    <row r="413" spans="1:135" ht="18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</row>
    <row r="414" spans="1:135" ht="18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</row>
    <row r="415" spans="1:135" ht="18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</row>
    <row r="416" spans="1:135" ht="18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</row>
    <row r="417" spans="1:135" ht="18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</row>
    <row r="418" spans="1:135" ht="18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</row>
    <row r="419" spans="1:135" ht="18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</row>
    <row r="420" spans="1:135" ht="18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</row>
    <row r="421" spans="1:135" ht="18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</row>
    <row r="422" spans="1:135" ht="18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</row>
    <row r="423" spans="1:135" ht="18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</row>
    <row r="424" spans="1:135" ht="18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</row>
    <row r="425" spans="1:135" ht="18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</row>
    <row r="426" spans="1:135" ht="18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</row>
    <row r="427" spans="1:135" ht="18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</row>
    <row r="428" spans="1:135" ht="18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</row>
    <row r="429" spans="1:135" ht="18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</row>
    <row r="430" spans="1:135" ht="18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</row>
    <row r="431" spans="1:135" ht="18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</row>
    <row r="432" spans="1:135" ht="18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</row>
    <row r="433" spans="1:135" ht="18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</row>
    <row r="434" spans="1:135" ht="18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</row>
    <row r="435" spans="1:135" ht="18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</row>
    <row r="436" spans="1:135" ht="18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</row>
    <row r="437" spans="1:135" ht="18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</row>
    <row r="438" spans="1:135" ht="18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</row>
    <row r="439" spans="1:135" ht="18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</row>
    <row r="440" spans="1:135" ht="18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</row>
    <row r="441" spans="1:135" ht="18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</row>
    <row r="442" spans="1:135" ht="18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</row>
    <row r="443" spans="1:135" ht="18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</row>
    <row r="444" spans="1:135" ht="18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</row>
    <row r="445" spans="1:135" ht="18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</row>
    <row r="446" spans="1:135" ht="18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</row>
    <row r="447" spans="1:135" ht="18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</row>
    <row r="448" spans="1:135" ht="18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</row>
    <row r="449" spans="1:135" ht="18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</row>
    <row r="450" spans="1:135" ht="18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</row>
    <row r="451" spans="1:135" ht="18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</row>
    <row r="452" spans="1:135" ht="18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</row>
    <row r="453" spans="1:135" ht="18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</row>
    <row r="454" spans="1:135" ht="18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</row>
    <row r="455" spans="1:135" ht="18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</row>
    <row r="456" spans="1:135" ht="18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</row>
    <row r="457" spans="1:135" ht="18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</row>
    <row r="458" spans="1:135" ht="18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</row>
    <row r="459" spans="1:135" ht="18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</row>
    <row r="460" spans="1:135" ht="18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</row>
    <row r="461" spans="1:135" ht="18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</row>
    <row r="462" spans="1:135" ht="18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</row>
    <row r="463" spans="1:135" ht="18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</row>
    <row r="464" spans="1:135" ht="18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</row>
    <row r="465" spans="1:135" ht="18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</row>
    <row r="466" spans="1:135" ht="18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</row>
    <row r="467" spans="1:135" ht="18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</row>
    <row r="468" spans="1:135" ht="18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</row>
    <row r="469" spans="1:135" ht="18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</row>
    <row r="470" spans="1:135" ht="18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</row>
    <row r="471" spans="1:135" ht="18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</row>
    <row r="472" spans="1:135" ht="18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</row>
    <row r="473" spans="1:135" ht="18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</row>
    <row r="474" spans="1:135" ht="18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</row>
    <row r="475" spans="1:135" ht="18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</row>
    <row r="476" spans="1:135" ht="18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</row>
    <row r="477" spans="1:135" ht="18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</row>
    <row r="478" spans="1:135" ht="18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</row>
    <row r="479" spans="1:135" ht="18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</row>
    <row r="480" spans="1:135" ht="18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</row>
    <row r="481" spans="1:135" ht="18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</row>
    <row r="482" spans="1:135" ht="18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</row>
    <row r="483" spans="1:135" ht="18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</row>
    <row r="484" spans="1:135" ht="18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</row>
    <row r="485" spans="1:135" ht="18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</row>
    <row r="486" spans="1:135" ht="18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</row>
    <row r="487" spans="1:135" ht="18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</row>
    <row r="488" spans="1:135" ht="18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</row>
    <row r="489" spans="1:135" ht="18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</row>
    <row r="490" spans="1:135" ht="18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</row>
    <row r="491" spans="1:135" ht="18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</row>
    <row r="492" spans="1:135" ht="18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</row>
    <row r="493" spans="1:135" ht="18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</row>
    <row r="494" spans="1:135" ht="18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</row>
    <row r="495" spans="1:135" ht="18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</row>
    <row r="496" spans="1:135" ht="18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</row>
    <row r="497" spans="1:135" ht="18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</row>
    <row r="498" spans="1:135" ht="18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</row>
    <row r="499" spans="1:135" ht="18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</row>
    <row r="500" spans="1:135" ht="18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</row>
    <row r="501" spans="1:135" ht="18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</row>
    <row r="502" spans="1:135" ht="18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</row>
    <row r="503" spans="1:135" ht="18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</row>
    <row r="504" spans="1:135" ht="18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</row>
    <row r="505" spans="1:135" ht="18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</row>
    <row r="506" spans="1:135" ht="18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</row>
    <row r="507" spans="1:135" ht="18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</row>
    <row r="508" spans="1:135" ht="18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</row>
    <row r="509" spans="1:135" ht="18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</row>
    <row r="510" spans="1:135" ht="18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</row>
    <row r="511" spans="1:135" ht="18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</row>
    <row r="512" spans="1:135" ht="18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</row>
    <row r="513" spans="1:135" ht="18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</row>
    <row r="514" spans="1:135" ht="18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</row>
    <row r="515" spans="1:135" ht="18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</row>
    <row r="516" spans="1:135" ht="18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</row>
    <row r="517" spans="1:135" ht="18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</row>
    <row r="518" spans="1:135" ht="18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</row>
    <row r="519" spans="1:135" ht="18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</row>
    <row r="520" spans="1:135" ht="18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</row>
    <row r="521" spans="1:135" ht="18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</row>
    <row r="522" spans="1:135" ht="18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</row>
    <row r="523" spans="1:135" ht="18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</row>
    <row r="524" spans="1:135" ht="18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</row>
    <row r="525" spans="1:135" ht="18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</row>
    <row r="526" spans="1:135" ht="18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</row>
    <row r="527" spans="1:135" ht="18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</row>
    <row r="528" spans="1:135" ht="18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</row>
    <row r="529" spans="1:135" ht="18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</row>
    <row r="530" spans="1:135" ht="18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</row>
    <row r="531" spans="1:135" ht="18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</row>
    <row r="532" spans="1:135" ht="18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</row>
    <row r="533" spans="1:135" ht="18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</row>
    <row r="534" spans="1:135" ht="18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</row>
    <row r="535" spans="1:135" ht="18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</row>
    <row r="536" spans="1:135" ht="18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</row>
    <row r="537" spans="1:135" ht="18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</row>
    <row r="538" spans="1:135" ht="18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</row>
    <row r="539" spans="1:135" ht="18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</row>
    <row r="540" spans="1:135" ht="18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</row>
    <row r="541" spans="1:135" ht="18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</row>
    <row r="542" spans="1:135" ht="18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</row>
    <row r="543" spans="1:135" ht="18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</row>
    <row r="544" spans="1:135" ht="18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</row>
    <row r="545" spans="1:135" ht="18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</row>
    <row r="546" spans="1:135" ht="18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</row>
    <row r="547" spans="1:135" ht="18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</row>
    <row r="548" spans="1:135" ht="18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</row>
    <row r="549" spans="1:135" ht="18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</row>
    <row r="550" spans="1:135" ht="18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</row>
    <row r="551" spans="1:135" ht="18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</row>
    <row r="552" spans="1:135" ht="18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</row>
    <row r="553" spans="1:135" ht="18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</row>
    <row r="554" spans="1:135" ht="18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</row>
    <row r="555" spans="1:135" ht="18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</row>
    <row r="556" spans="1:135" ht="18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</row>
    <row r="557" spans="1:135" ht="18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</row>
    <row r="558" spans="1:135" ht="18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</row>
    <row r="559" spans="1:135" ht="18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</row>
    <row r="560" spans="1:135" ht="18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</row>
    <row r="561" spans="1:135" ht="18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</row>
    <row r="562" spans="1:135" ht="18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</row>
    <row r="563" spans="1:135" ht="18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</row>
    <row r="564" spans="1:135" ht="18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</row>
    <row r="565" spans="1:135" ht="18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</row>
    <row r="566" spans="1:135" ht="18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</row>
    <row r="567" spans="1:135" ht="18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</row>
    <row r="568" spans="1:135" ht="18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</row>
    <row r="569" spans="1:135" ht="18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</row>
    <row r="570" spans="1:135" ht="18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</row>
    <row r="571" spans="1:135" ht="18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</row>
    <row r="572" spans="1:135" ht="18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</row>
    <row r="573" spans="1:135" ht="18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</row>
    <row r="574" spans="1:135" ht="18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</row>
    <row r="575" spans="1:135" ht="18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</row>
    <row r="576" spans="1:135" ht="18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</row>
    <row r="577" spans="1:135" ht="18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</row>
    <row r="578" spans="1:135" ht="18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</row>
    <row r="579" spans="1:135" ht="18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</row>
    <row r="580" spans="1:135" ht="18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</row>
    <row r="581" spans="1:135" ht="18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</row>
    <row r="582" spans="1:135" ht="18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</row>
    <row r="583" spans="1:135" ht="18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</row>
    <row r="584" spans="1:135" ht="18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</row>
    <row r="585" spans="1:135" ht="18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</row>
    <row r="586" spans="1:135" ht="18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</row>
    <row r="587" spans="1:135" ht="18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</row>
    <row r="588" spans="1:135" ht="18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</row>
    <row r="589" spans="1:135" ht="18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</row>
    <row r="590" spans="1:135" ht="18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</row>
    <row r="591" spans="1:135" ht="18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</row>
    <row r="592" spans="1:135" ht="18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</row>
    <row r="593" spans="1:135" ht="18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</row>
    <row r="594" spans="1:135" ht="18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</row>
    <row r="595" spans="1:135" ht="18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</row>
    <row r="596" spans="1:135" ht="18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</row>
    <row r="597" spans="1:135" ht="18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</row>
    <row r="598" spans="1:135" ht="18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</row>
    <row r="599" spans="1:135" ht="18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</row>
    <row r="600" spans="1:135" ht="18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</row>
    <row r="601" spans="1:135" ht="18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</row>
    <row r="602" spans="1:135" ht="18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</row>
    <row r="603" spans="1:135" ht="18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</row>
    <row r="604" spans="1:135" ht="18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</row>
    <row r="605" spans="1:135" ht="18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</row>
    <row r="606" spans="1:135" ht="18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</row>
    <row r="607" spans="1:135" ht="18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</row>
    <row r="608" spans="1:135" ht="18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</row>
    <row r="609" spans="1:135" ht="18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</row>
    <row r="610" spans="1:135" ht="18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</row>
    <row r="611" spans="1:135" ht="18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</row>
    <row r="612" spans="1:135" ht="18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</row>
    <row r="613" spans="1:135" ht="18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</row>
    <row r="614" spans="1:135" ht="18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</row>
    <row r="615" spans="1:135" ht="18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</row>
    <row r="616" spans="1:135" ht="18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</row>
    <row r="617" spans="1:135" ht="18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</row>
    <row r="618" spans="1:135" ht="18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</row>
    <row r="619" spans="1:135" ht="18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</row>
    <row r="620" spans="1:135" ht="18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</row>
    <row r="621" spans="1:135" ht="18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</row>
    <row r="622" spans="1:135" ht="18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</row>
    <row r="623" spans="1:135" ht="18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</row>
    <row r="624" spans="1:135" ht="18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</row>
    <row r="625" spans="1:135" ht="18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</row>
    <row r="626" spans="1:135" ht="18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</row>
    <row r="627" spans="1:135" ht="18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</row>
    <row r="628" spans="1:135" ht="18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</row>
    <row r="629" spans="1:135" ht="18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</row>
    <row r="630" spans="1:135" ht="18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</row>
    <row r="631" spans="1:135" ht="18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</row>
    <row r="632" spans="1:135" ht="18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</row>
    <row r="633" spans="1:135" ht="18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</row>
    <row r="634" spans="1:135" ht="18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</row>
    <row r="635" spans="1:135" ht="18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</row>
    <row r="636" spans="1:135" ht="18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</row>
    <row r="637" spans="1:135" ht="18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</row>
    <row r="638" spans="1:135" ht="18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</row>
    <row r="639" spans="1:135" ht="18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</row>
    <row r="640" spans="1:135" ht="18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</row>
    <row r="641" spans="1:135" ht="18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</row>
    <row r="642" spans="1:135" ht="18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</row>
    <row r="643" spans="1:135" ht="18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</row>
    <row r="644" spans="1:135" ht="18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</row>
    <row r="645" spans="1:135" ht="18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</row>
    <row r="646" spans="1:135" ht="18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</row>
    <row r="647" spans="1:135" ht="18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</row>
    <row r="648" spans="1:135" ht="18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</row>
    <row r="649" spans="1:135" ht="18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</row>
    <row r="650" spans="1:135" ht="18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</row>
    <row r="651" spans="1:135" ht="18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</row>
    <row r="652" spans="1:135" ht="18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</row>
    <row r="653" spans="1:135" ht="18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</row>
    <row r="654" spans="1:135" ht="18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</row>
    <row r="655" spans="1:135" ht="18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</row>
    <row r="656" spans="1:135" ht="18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</row>
    <row r="657" spans="1:135" ht="18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</row>
    <row r="658" spans="1:135" ht="18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</row>
    <row r="659" spans="1:135" ht="18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</row>
    <row r="660" spans="1:135" ht="18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</row>
    <row r="661" spans="1:135" ht="18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</row>
    <row r="662" spans="1:135" ht="18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</row>
    <row r="663" spans="1:135" ht="18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</row>
    <row r="664" spans="1:135" ht="18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</row>
    <row r="665" spans="1:135" ht="18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</row>
    <row r="666" spans="1:135" ht="18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</row>
    <row r="667" spans="1:135" ht="18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</row>
    <row r="668" spans="1:135" ht="18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</row>
    <row r="669" spans="1:135" ht="18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</row>
    <row r="670" spans="1:135" ht="18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</row>
    <row r="671" spans="1:135" ht="18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</row>
    <row r="672" spans="1:135" ht="18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</row>
    <row r="673" spans="1:135" ht="18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</row>
    <row r="674" spans="1:135" ht="18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</row>
    <row r="675" spans="1:135" ht="18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</row>
    <row r="676" spans="1:135" ht="18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</row>
    <row r="677" spans="1:135" ht="18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</row>
    <row r="678" spans="1:135" ht="18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</row>
    <row r="679" spans="1:135" ht="18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</row>
    <row r="680" spans="1:135" ht="18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</row>
    <row r="681" spans="1:135" ht="18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</row>
    <row r="682" spans="1:135" ht="18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</row>
    <row r="683" spans="1:135" ht="18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</row>
    <row r="684" spans="1:135" ht="18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</row>
    <row r="685" spans="1:135" ht="18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</row>
    <row r="686" spans="1:135" ht="18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</row>
    <row r="687" spans="1:135" ht="18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</row>
    <row r="688" spans="1:135" ht="18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</row>
    <row r="689" spans="1:135" ht="18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</row>
    <row r="690" spans="1:135" ht="18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</row>
    <row r="691" spans="1:135" ht="18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</row>
    <row r="692" spans="1:135" ht="18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</row>
    <row r="693" spans="1:135" ht="18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</row>
    <row r="694" spans="1:135" ht="18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</row>
    <row r="695" spans="1:135" ht="18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</row>
    <row r="696" spans="1:135" ht="18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</row>
    <row r="697" spans="1:135" ht="18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</row>
    <row r="698" spans="1:135" ht="18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</row>
    <row r="699" spans="1:135" ht="18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</row>
    <row r="700" spans="1:135" ht="18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</row>
    <row r="701" spans="1:135" ht="18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</row>
    <row r="702" spans="1:135" ht="18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</row>
    <row r="703" spans="1:135" ht="18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</row>
    <row r="704" spans="1:135" ht="18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</row>
    <row r="705" spans="1:135" ht="18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</row>
    <row r="706" spans="1:135" ht="18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</row>
    <row r="707" spans="1:135" ht="18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</row>
    <row r="708" spans="1:135" ht="18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</row>
    <row r="709" spans="1:135" ht="18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</row>
    <row r="710" spans="1:135" ht="18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</row>
    <row r="711" spans="1:135" ht="18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</row>
    <row r="712" spans="1:135" ht="18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</row>
    <row r="713" spans="1:135" ht="18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</row>
    <row r="714" spans="1:135" ht="18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</row>
    <row r="715" spans="1:135" ht="18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</row>
    <row r="716" spans="1:135" ht="18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</row>
    <row r="717" spans="1:135" ht="18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</row>
    <row r="718" spans="1:135" ht="18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</row>
    <row r="719" spans="1:135" ht="18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</row>
    <row r="720" spans="1:135" ht="18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</row>
    <row r="721" spans="1:135" ht="18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</row>
    <row r="722" spans="1:135" ht="18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</row>
    <row r="723" spans="1:135" ht="18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</row>
    <row r="724" spans="1:135" ht="18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</row>
    <row r="725" spans="1:135" ht="18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</row>
    <row r="726" spans="1:135" ht="18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</row>
    <row r="727" spans="1:135" ht="18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</row>
    <row r="728" spans="1:135" ht="18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</row>
    <row r="729" spans="1:135" ht="18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</row>
    <row r="730" spans="1:135" ht="18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</row>
    <row r="731" spans="1:135" ht="18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</row>
    <row r="732" spans="1:135" ht="18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</row>
    <row r="733" spans="1:135" ht="18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</row>
    <row r="734" spans="1:135" ht="18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</row>
    <row r="735" spans="1:135" ht="18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</row>
    <row r="736" spans="1:135" ht="18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</row>
    <row r="737" spans="1:135" ht="18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</row>
    <row r="738" spans="1:135" ht="18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</row>
    <row r="739" spans="1:135" ht="18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</row>
    <row r="740" spans="1:135" ht="18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</row>
    <row r="741" spans="1:135" ht="18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</row>
    <row r="742" spans="1:135" ht="18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</row>
    <row r="743" spans="1:135" ht="18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/>
      <c r="DD743" s="26"/>
      <c r="DE743" s="26"/>
      <c r="DF743" s="26"/>
      <c r="DG743" s="26"/>
      <c r="DH743" s="26"/>
      <c r="DI743" s="26"/>
      <c r="DJ743" s="26"/>
      <c r="DK743" s="26"/>
      <c r="DL743" s="26"/>
      <c r="DM743" s="26"/>
      <c r="DN743" s="26"/>
      <c r="DO743" s="26"/>
      <c r="DP743" s="26"/>
      <c r="DQ743" s="26"/>
      <c r="DR743" s="26"/>
      <c r="DS743" s="26"/>
      <c r="DT743" s="26"/>
      <c r="DU743" s="26"/>
      <c r="DV743" s="26"/>
      <c r="DW743" s="26"/>
      <c r="DX743" s="26"/>
      <c r="DY743" s="26"/>
      <c r="DZ743" s="26"/>
      <c r="EA743" s="26"/>
      <c r="EB743" s="26"/>
      <c r="EC743" s="26"/>
      <c r="ED743" s="26"/>
      <c r="EE743" s="26"/>
    </row>
    <row r="744" spans="1:135" ht="18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  <c r="DC744" s="26"/>
      <c r="DD744" s="26"/>
      <c r="DE744" s="26"/>
      <c r="DF744" s="26"/>
      <c r="DG744" s="26"/>
      <c r="DH744" s="26"/>
      <c r="DI744" s="26"/>
      <c r="DJ744" s="26"/>
      <c r="DK744" s="26"/>
      <c r="DL744" s="26"/>
      <c r="DM744" s="26"/>
      <c r="DN744" s="26"/>
      <c r="DO744" s="26"/>
      <c r="DP744" s="26"/>
      <c r="DQ744" s="26"/>
      <c r="DR744" s="26"/>
      <c r="DS744" s="26"/>
      <c r="DT744" s="26"/>
      <c r="DU744" s="26"/>
      <c r="DV744" s="26"/>
      <c r="DW744" s="26"/>
      <c r="DX744" s="26"/>
      <c r="DY744" s="26"/>
      <c r="DZ744" s="26"/>
      <c r="EA744" s="26"/>
      <c r="EB744" s="26"/>
      <c r="EC744" s="26"/>
      <c r="ED744" s="26"/>
      <c r="EE744" s="26"/>
    </row>
    <row r="745" spans="1:135" ht="18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/>
      <c r="DS745" s="26"/>
      <c r="DT745" s="26"/>
      <c r="DU745" s="26"/>
      <c r="DV745" s="26"/>
      <c r="DW745" s="26"/>
      <c r="DX745" s="26"/>
      <c r="DY745" s="26"/>
      <c r="DZ745" s="26"/>
      <c r="EA745" s="26"/>
      <c r="EB745" s="26"/>
      <c r="EC745" s="26"/>
      <c r="ED745" s="26"/>
      <c r="EE745" s="26"/>
    </row>
    <row r="746" spans="1:135" ht="18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  <c r="DJ746" s="26"/>
      <c r="DK746" s="26"/>
      <c r="DL746" s="26"/>
      <c r="DM746" s="26"/>
      <c r="DN746" s="26"/>
      <c r="DO746" s="26"/>
      <c r="DP746" s="26"/>
      <c r="DQ746" s="26"/>
      <c r="DR746" s="26"/>
      <c r="DS746" s="26"/>
      <c r="DT746" s="26"/>
      <c r="DU746" s="26"/>
      <c r="DV746" s="26"/>
      <c r="DW746" s="26"/>
      <c r="DX746" s="26"/>
      <c r="DY746" s="26"/>
      <c r="DZ746" s="26"/>
      <c r="EA746" s="26"/>
      <c r="EB746" s="26"/>
      <c r="EC746" s="26"/>
      <c r="ED746" s="26"/>
      <c r="EE746" s="26"/>
    </row>
    <row r="747" spans="1:135" ht="18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  <c r="DJ747" s="26"/>
      <c r="DK747" s="26"/>
      <c r="DL747" s="26"/>
      <c r="DM747" s="26"/>
      <c r="DN747" s="26"/>
      <c r="DO747" s="26"/>
      <c r="DP747" s="26"/>
      <c r="DQ747" s="26"/>
      <c r="DR747" s="26"/>
      <c r="DS747" s="26"/>
      <c r="DT747" s="26"/>
      <c r="DU747" s="26"/>
      <c r="DV747" s="26"/>
      <c r="DW747" s="26"/>
      <c r="DX747" s="26"/>
      <c r="DY747" s="26"/>
      <c r="DZ747" s="26"/>
      <c r="EA747" s="26"/>
      <c r="EB747" s="26"/>
      <c r="EC747" s="26"/>
      <c r="ED747" s="26"/>
      <c r="EE747" s="26"/>
    </row>
    <row r="748" spans="1:135" ht="18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  <c r="DB748" s="26"/>
      <c r="DC748" s="26"/>
      <c r="DD748" s="26"/>
      <c r="DE748" s="26"/>
      <c r="DF748" s="26"/>
      <c r="DG748" s="26"/>
      <c r="DH748" s="26"/>
      <c r="DI748" s="26"/>
      <c r="DJ748" s="26"/>
      <c r="DK748" s="26"/>
      <c r="DL748" s="26"/>
      <c r="DM748" s="26"/>
      <c r="DN748" s="26"/>
      <c r="DO748" s="26"/>
      <c r="DP748" s="26"/>
      <c r="DQ748" s="26"/>
      <c r="DR748" s="26"/>
      <c r="DS748" s="26"/>
      <c r="DT748" s="26"/>
      <c r="DU748" s="26"/>
      <c r="DV748" s="26"/>
      <c r="DW748" s="26"/>
      <c r="DX748" s="26"/>
      <c r="DY748" s="26"/>
      <c r="DZ748" s="26"/>
      <c r="EA748" s="26"/>
      <c r="EB748" s="26"/>
      <c r="EC748" s="26"/>
      <c r="ED748" s="26"/>
      <c r="EE748" s="26"/>
    </row>
    <row r="749" spans="1:135" ht="18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  <c r="DB749" s="26"/>
      <c r="DC749" s="26"/>
      <c r="DD749" s="26"/>
      <c r="DE749" s="26"/>
      <c r="DF749" s="26"/>
      <c r="DG749" s="26"/>
      <c r="DH749" s="26"/>
      <c r="DI749" s="26"/>
      <c r="DJ749" s="26"/>
      <c r="DK749" s="26"/>
      <c r="DL749" s="26"/>
      <c r="DM749" s="26"/>
      <c r="DN749" s="26"/>
      <c r="DO749" s="26"/>
      <c r="DP749" s="26"/>
      <c r="DQ749" s="26"/>
      <c r="DR749" s="26"/>
      <c r="DS749" s="26"/>
      <c r="DT749" s="26"/>
      <c r="DU749" s="26"/>
      <c r="DV749" s="26"/>
      <c r="DW749" s="26"/>
      <c r="DX749" s="26"/>
      <c r="DY749" s="26"/>
      <c r="DZ749" s="26"/>
      <c r="EA749" s="26"/>
      <c r="EB749" s="26"/>
      <c r="EC749" s="26"/>
      <c r="ED749" s="26"/>
      <c r="EE749" s="26"/>
    </row>
    <row r="750" spans="1:135" ht="18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  <c r="DB750" s="26"/>
      <c r="DC750" s="26"/>
      <c r="DD750" s="26"/>
      <c r="DE750" s="26"/>
      <c r="DF750" s="26"/>
      <c r="DG750" s="26"/>
      <c r="DH750" s="26"/>
      <c r="DI750" s="26"/>
      <c r="DJ750" s="26"/>
      <c r="DK750" s="26"/>
      <c r="DL750" s="26"/>
      <c r="DM750" s="26"/>
      <c r="DN750" s="26"/>
      <c r="DO750" s="26"/>
      <c r="DP750" s="26"/>
      <c r="DQ750" s="26"/>
      <c r="DR750" s="26"/>
      <c r="DS750" s="26"/>
      <c r="DT750" s="26"/>
      <c r="DU750" s="26"/>
      <c r="DV750" s="26"/>
      <c r="DW750" s="26"/>
      <c r="DX750" s="26"/>
      <c r="DY750" s="26"/>
      <c r="DZ750" s="26"/>
      <c r="EA750" s="26"/>
      <c r="EB750" s="26"/>
      <c r="EC750" s="26"/>
      <c r="ED750" s="26"/>
      <c r="EE750" s="26"/>
    </row>
    <row r="751" spans="1:135" ht="18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  <c r="DB751" s="26"/>
      <c r="DC751" s="26"/>
      <c r="DD751" s="26"/>
      <c r="DE751" s="26"/>
      <c r="DF751" s="26"/>
      <c r="DG751" s="26"/>
      <c r="DH751" s="26"/>
      <c r="DI751" s="26"/>
      <c r="DJ751" s="26"/>
      <c r="DK751" s="26"/>
      <c r="DL751" s="26"/>
      <c r="DM751" s="26"/>
      <c r="DN751" s="26"/>
      <c r="DO751" s="26"/>
      <c r="DP751" s="26"/>
      <c r="DQ751" s="26"/>
      <c r="DR751" s="26"/>
      <c r="DS751" s="26"/>
      <c r="DT751" s="26"/>
      <c r="DU751" s="26"/>
      <c r="DV751" s="26"/>
      <c r="DW751" s="26"/>
      <c r="DX751" s="26"/>
      <c r="DY751" s="26"/>
      <c r="DZ751" s="26"/>
      <c r="EA751" s="26"/>
      <c r="EB751" s="26"/>
      <c r="EC751" s="26"/>
      <c r="ED751" s="26"/>
      <c r="EE751" s="26"/>
    </row>
    <row r="752" spans="1:135" ht="18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  <c r="DB752" s="26"/>
      <c r="DC752" s="26"/>
      <c r="DD752" s="26"/>
      <c r="DE752" s="26"/>
      <c r="DF752" s="26"/>
      <c r="DG752" s="26"/>
      <c r="DH752" s="26"/>
      <c r="DI752" s="26"/>
      <c r="DJ752" s="26"/>
      <c r="DK752" s="26"/>
      <c r="DL752" s="26"/>
      <c r="DM752" s="26"/>
      <c r="DN752" s="26"/>
      <c r="DO752" s="26"/>
      <c r="DP752" s="26"/>
      <c r="DQ752" s="26"/>
      <c r="DR752" s="26"/>
      <c r="DS752" s="26"/>
      <c r="DT752" s="26"/>
      <c r="DU752" s="26"/>
      <c r="DV752" s="26"/>
      <c r="DW752" s="26"/>
      <c r="DX752" s="26"/>
      <c r="DY752" s="26"/>
      <c r="DZ752" s="26"/>
      <c r="EA752" s="26"/>
      <c r="EB752" s="26"/>
      <c r="EC752" s="26"/>
      <c r="ED752" s="26"/>
      <c r="EE752" s="26"/>
    </row>
    <row r="753" spans="1:135" ht="18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  <c r="DB753" s="26"/>
      <c r="DC753" s="26"/>
      <c r="DD753" s="26"/>
      <c r="DE753" s="26"/>
      <c r="DF753" s="26"/>
      <c r="DG753" s="26"/>
      <c r="DH753" s="26"/>
      <c r="DI753" s="26"/>
      <c r="DJ753" s="26"/>
      <c r="DK753" s="26"/>
      <c r="DL753" s="26"/>
      <c r="DM753" s="26"/>
      <c r="DN753" s="26"/>
      <c r="DO753" s="26"/>
      <c r="DP753" s="26"/>
      <c r="DQ753" s="26"/>
      <c r="DR753" s="26"/>
      <c r="DS753" s="26"/>
      <c r="DT753" s="26"/>
      <c r="DU753" s="26"/>
      <c r="DV753" s="26"/>
      <c r="DW753" s="26"/>
      <c r="DX753" s="26"/>
      <c r="DY753" s="26"/>
      <c r="DZ753" s="26"/>
      <c r="EA753" s="26"/>
      <c r="EB753" s="26"/>
      <c r="EC753" s="26"/>
      <c r="ED753" s="26"/>
      <c r="EE753" s="26"/>
    </row>
    <row r="754" spans="1:135" ht="18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  <c r="DB754" s="26"/>
      <c r="DC754" s="26"/>
      <c r="DD754" s="26"/>
      <c r="DE754" s="26"/>
      <c r="DF754" s="26"/>
      <c r="DG754" s="26"/>
      <c r="DH754" s="26"/>
      <c r="DI754" s="26"/>
      <c r="DJ754" s="26"/>
      <c r="DK754" s="26"/>
      <c r="DL754" s="26"/>
      <c r="DM754" s="26"/>
      <c r="DN754" s="26"/>
      <c r="DO754" s="26"/>
      <c r="DP754" s="26"/>
      <c r="DQ754" s="26"/>
      <c r="DR754" s="26"/>
      <c r="DS754" s="26"/>
      <c r="DT754" s="26"/>
      <c r="DU754" s="26"/>
      <c r="DV754" s="26"/>
      <c r="DW754" s="26"/>
      <c r="DX754" s="26"/>
      <c r="DY754" s="26"/>
      <c r="DZ754" s="26"/>
      <c r="EA754" s="26"/>
      <c r="EB754" s="26"/>
      <c r="EC754" s="26"/>
      <c r="ED754" s="26"/>
      <c r="EE754" s="26"/>
    </row>
    <row r="755" spans="1:135" ht="18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  <c r="DC755" s="26"/>
      <c r="DD755" s="26"/>
      <c r="DE755" s="26"/>
      <c r="DF755" s="26"/>
      <c r="DG755" s="26"/>
      <c r="DH755" s="26"/>
      <c r="DI755" s="26"/>
      <c r="DJ755" s="26"/>
      <c r="DK755" s="26"/>
      <c r="DL755" s="26"/>
      <c r="DM755" s="26"/>
      <c r="DN755" s="26"/>
      <c r="DO755" s="26"/>
      <c r="DP755" s="26"/>
      <c r="DQ755" s="26"/>
      <c r="DR755" s="26"/>
      <c r="DS755" s="26"/>
      <c r="DT755" s="26"/>
      <c r="DU755" s="26"/>
      <c r="DV755" s="26"/>
      <c r="DW755" s="26"/>
      <c r="DX755" s="26"/>
      <c r="DY755" s="26"/>
      <c r="DZ755" s="26"/>
      <c r="EA755" s="26"/>
      <c r="EB755" s="26"/>
      <c r="EC755" s="26"/>
      <c r="ED755" s="26"/>
      <c r="EE755" s="26"/>
    </row>
    <row r="756" spans="1:135" ht="18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  <c r="DB756" s="26"/>
      <c r="DC756" s="26"/>
      <c r="DD756" s="26"/>
      <c r="DE756" s="26"/>
      <c r="DF756" s="26"/>
      <c r="DG756" s="26"/>
      <c r="DH756" s="26"/>
      <c r="DI756" s="26"/>
      <c r="DJ756" s="26"/>
      <c r="DK756" s="26"/>
      <c r="DL756" s="26"/>
      <c r="DM756" s="26"/>
      <c r="DN756" s="26"/>
      <c r="DO756" s="26"/>
      <c r="DP756" s="26"/>
      <c r="DQ756" s="26"/>
      <c r="DR756" s="26"/>
      <c r="DS756" s="26"/>
      <c r="DT756" s="26"/>
      <c r="DU756" s="26"/>
      <c r="DV756" s="26"/>
      <c r="DW756" s="26"/>
      <c r="DX756" s="26"/>
      <c r="DY756" s="26"/>
      <c r="DZ756" s="26"/>
      <c r="EA756" s="26"/>
      <c r="EB756" s="26"/>
      <c r="EC756" s="26"/>
      <c r="ED756" s="26"/>
      <c r="EE756" s="26"/>
    </row>
    <row r="757" spans="1:135" ht="18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  <c r="DC757" s="26"/>
      <c r="DD757" s="26"/>
      <c r="DE757" s="26"/>
      <c r="DF757" s="26"/>
      <c r="DG757" s="26"/>
      <c r="DH757" s="26"/>
      <c r="DI757" s="26"/>
      <c r="DJ757" s="26"/>
      <c r="DK757" s="26"/>
      <c r="DL757" s="26"/>
      <c r="DM757" s="26"/>
      <c r="DN757" s="26"/>
      <c r="DO757" s="26"/>
      <c r="DP757" s="26"/>
      <c r="DQ757" s="26"/>
      <c r="DR757" s="26"/>
      <c r="DS757" s="26"/>
      <c r="DT757" s="26"/>
      <c r="DU757" s="26"/>
      <c r="DV757" s="26"/>
      <c r="DW757" s="26"/>
      <c r="DX757" s="26"/>
      <c r="DY757" s="26"/>
      <c r="DZ757" s="26"/>
      <c r="EA757" s="26"/>
      <c r="EB757" s="26"/>
      <c r="EC757" s="26"/>
      <c r="ED757" s="26"/>
      <c r="EE757" s="26"/>
    </row>
    <row r="758" spans="1:135" ht="18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  <c r="DB758" s="26"/>
      <c r="DC758" s="26"/>
      <c r="DD758" s="26"/>
      <c r="DE758" s="26"/>
      <c r="DF758" s="26"/>
      <c r="DG758" s="26"/>
      <c r="DH758" s="26"/>
      <c r="DI758" s="26"/>
      <c r="DJ758" s="26"/>
      <c r="DK758" s="26"/>
      <c r="DL758" s="26"/>
      <c r="DM758" s="26"/>
      <c r="DN758" s="26"/>
      <c r="DO758" s="26"/>
      <c r="DP758" s="26"/>
      <c r="DQ758" s="26"/>
      <c r="DR758" s="26"/>
      <c r="DS758" s="26"/>
      <c r="DT758" s="26"/>
      <c r="DU758" s="26"/>
      <c r="DV758" s="26"/>
      <c r="DW758" s="26"/>
      <c r="DX758" s="26"/>
      <c r="DY758" s="26"/>
      <c r="DZ758" s="26"/>
      <c r="EA758" s="26"/>
      <c r="EB758" s="26"/>
      <c r="EC758" s="26"/>
      <c r="ED758" s="26"/>
      <c r="EE758" s="26"/>
    </row>
    <row r="759" spans="1:135" ht="18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  <c r="DJ759" s="26"/>
      <c r="DK759" s="26"/>
      <c r="DL759" s="26"/>
      <c r="DM759" s="26"/>
      <c r="DN759" s="26"/>
      <c r="DO759" s="26"/>
      <c r="DP759" s="26"/>
      <c r="DQ759" s="26"/>
      <c r="DR759" s="26"/>
      <c r="DS759" s="26"/>
      <c r="DT759" s="26"/>
      <c r="DU759" s="26"/>
      <c r="DV759" s="26"/>
      <c r="DW759" s="26"/>
      <c r="DX759" s="26"/>
      <c r="DY759" s="26"/>
      <c r="DZ759" s="26"/>
      <c r="EA759" s="26"/>
      <c r="EB759" s="26"/>
      <c r="EC759" s="26"/>
      <c r="ED759" s="26"/>
      <c r="EE759" s="26"/>
    </row>
    <row r="760" spans="1:135" ht="18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  <c r="DJ760" s="26"/>
      <c r="DK760" s="26"/>
      <c r="DL760" s="26"/>
      <c r="DM760" s="26"/>
      <c r="DN760" s="26"/>
      <c r="DO760" s="26"/>
      <c r="DP760" s="26"/>
      <c r="DQ760" s="26"/>
      <c r="DR760" s="26"/>
      <c r="DS760" s="26"/>
      <c r="DT760" s="26"/>
      <c r="DU760" s="26"/>
      <c r="DV760" s="26"/>
      <c r="DW760" s="26"/>
      <c r="DX760" s="26"/>
      <c r="DY760" s="26"/>
      <c r="DZ760" s="26"/>
      <c r="EA760" s="26"/>
      <c r="EB760" s="26"/>
      <c r="EC760" s="26"/>
      <c r="ED760" s="26"/>
      <c r="EE760" s="26"/>
    </row>
    <row r="761" spans="1:135" ht="18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  <c r="DJ761" s="26"/>
      <c r="DK761" s="26"/>
      <c r="DL761" s="26"/>
      <c r="DM761" s="26"/>
      <c r="DN761" s="26"/>
      <c r="DO761" s="26"/>
      <c r="DP761" s="26"/>
      <c r="DQ761" s="26"/>
      <c r="DR761" s="26"/>
      <c r="DS761" s="26"/>
      <c r="DT761" s="26"/>
      <c r="DU761" s="26"/>
      <c r="DV761" s="26"/>
      <c r="DW761" s="26"/>
      <c r="DX761" s="26"/>
      <c r="DY761" s="26"/>
      <c r="DZ761" s="26"/>
      <c r="EA761" s="26"/>
      <c r="EB761" s="26"/>
      <c r="EC761" s="26"/>
      <c r="ED761" s="26"/>
      <c r="EE761" s="26"/>
    </row>
    <row r="762" spans="1:135" ht="18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  <c r="DJ762" s="26"/>
      <c r="DK762" s="26"/>
      <c r="DL762" s="26"/>
      <c r="DM762" s="26"/>
      <c r="DN762" s="26"/>
      <c r="DO762" s="26"/>
      <c r="DP762" s="26"/>
      <c r="DQ762" s="26"/>
      <c r="DR762" s="26"/>
      <c r="DS762" s="26"/>
      <c r="DT762" s="26"/>
      <c r="DU762" s="26"/>
      <c r="DV762" s="26"/>
      <c r="DW762" s="26"/>
      <c r="DX762" s="26"/>
      <c r="DY762" s="26"/>
      <c r="DZ762" s="26"/>
      <c r="EA762" s="26"/>
      <c r="EB762" s="26"/>
      <c r="EC762" s="26"/>
      <c r="ED762" s="26"/>
      <c r="EE762" s="26"/>
    </row>
    <row r="763" spans="1:135" ht="18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  <c r="DB763" s="26"/>
      <c r="DC763" s="26"/>
      <c r="DD763" s="26"/>
      <c r="DE763" s="26"/>
      <c r="DF763" s="26"/>
      <c r="DG763" s="26"/>
      <c r="DH763" s="26"/>
      <c r="DI763" s="26"/>
      <c r="DJ763" s="26"/>
      <c r="DK763" s="26"/>
      <c r="DL763" s="26"/>
      <c r="DM763" s="26"/>
      <c r="DN763" s="26"/>
      <c r="DO763" s="26"/>
      <c r="DP763" s="26"/>
      <c r="DQ763" s="26"/>
      <c r="DR763" s="26"/>
      <c r="DS763" s="26"/>
      <c r="DT763" s="26"/>
      <c r="DU763" s="26"/>
      <c r="DV763" s="26"/>
      <c r="DW763" s="26"/>
      <c r="DX763" s="26"/>
      <c r="DY763" s="26"/>
      <c r="DZ763" s="26"/>
      <c r="EA763" s="26"/>
      <c r="EB763" s="26"/>
      <c r="EC763" s="26"/>
      <c r="ED763" s="26"/>
      <c r="EE763" s="26"/>
    </row>
    <row r="764" spans="1:135" ht="18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  <c r="DC764" s="26"/>
      <c r="DD764" s="26"/>
      <c r="DE764" s="26"/>
      <c r="DF764" s="26"/>
      <c r="DG764" s="26"/>
      <c r="DH764" s="26"/>
      <c r="DI764" s="26"/>
      <c r="DJ764" s="26"/>
      <c r="DK764" s="26"/>
      <c r="DL764" s="26"/>
      <c r="DM764" s="26"/>
      <c r="DN764" s="26"/>
      <c r="DO764" s="26"/>
      <c r="DP764" s="26"/>
      <c r="DQ764" s="26"/>
      <c r="DR764" s="26"/>
      <c r="DS764" s="26"/>
      <c r="DT764" s="26"/>
      <c r="DU764" s="26"/>
      <c r="DV764" s="26"/>
      <c r="DW764" s="26"/>
      <c r="DX764" s="26"/>
      <c r="DY764" s="26"/>
      <c r="DZ764" s="26"/>
      <c r="EA764" s="26"/>
      <c r="EB764" s="26"/>
      <c r="EC764" s="26"/>
      <c r="ED764" s="26"/>
      <c r="EE764" s="26"/>
    </row>
    <row r="765" spans="1:135" ht="18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  <c r="DC765" s="26"/>
      <c r="DD765" s="26"/>
      <c r="DE765" s="26"/>
      <c r="DF765" s="26"/>
      <c r="DG765" s="26"/>
      <c r="DH765" s="26"/>
      <c r="DI765" s="26"/>
      <c r="DJ765" s="26"/>
      <c r="DK765" s="26"/>
      <c r="DL765" s="26"/>
      <c r="DM765" s="26"/>
      <c r="DN765" s="26"/>
      <c r="DO765" s="26"/>
      <c r="DP765" s="26"/>
      <c r="DQ765" s="26"/>
      <c r="DR765" s="26"/>
      <c r="DS765" s="26"/>
      <c r="DT765" s="26"/>
      <c r="DU765" s="26"/>
      <c r="DV765" s="26"/>
      <c r="DW765" s="26"/>
      <c r="DX765" s="26"/>
      <c r="DY765" s="26"/>
      <c r="DZ765" s="26"/>
      <c r="EA765" s="26"/>
      <c r="EB765" s="26"/>
      <c r="EC765" s="26"/>
      <c r="ED765" s="26"/>
      <c r="EE765" s="26"/>
    </row>
    <row r="766" spans="1:135" ht="18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  <c r="DC766" s="26"/>
      <c r="DD766" s="26"/>
      <c r="DE766" s="26"/>
      <c r="DF766" s="26"/>
      <c r="DG766" s="26"/>
      <c r="DH766" s="26"/>
      <c r="DI766" s="26"/>
      <c r="DJ766" s="26"/>
      <c r="DK766" s="26"/>
      <c r="DL766" s="26"/>
      <c r="DM766" s="26"/>
      <c r="DN766" s="26"/>
      <c r="DO766" s="26"/>
      <c r="DP766" s="26"/>
      <c r="DQ766" s="26"/>
      <c r="DR766" s="26"/>
      <c r="DS766" s="26"/>
      <c r="DT766" s="26"/>
      <c r="DU766" s="26"/>
      <c r="DV766" s="26"/>
      <c r="DW766" s="26"/>
      <c r="DX766" s="26"/>
      <c r="DY766" s="26"/>
      <c r="DZ766" s="26"/>
      <c r="EA766" s="26"/>
      <c r="EB766" s="26"/>
      <c r="EC766" s="26"/>
      <c r="ED766" s="26"/>
      <c r="EE766" s="26"/>
    </row>
    <row r="767" spans="1:135" ht="18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  <c r="DB767" s="26"/>
      <c r="DC767" s="26"/>
      <c r="DD767" s="26"/>
      <c r="DE767" s="26"/>
      <c r="DF767" s="26"/>
      <c r="DG767" s="26"/>
      <c r="DH767" s="26"/>
      <c r="DI767" s="26"/>
      <c r="DJ767" s="26"/>
      <c r="DK767" s="26"/>
      <c r="DL767" s="26"/>
      <c r="DM767" s="26"/>
      <c r="DN767" s="26"/>
      <c r="DO767" s="26"/>
      <c r="DP767" s="26"/>
      <c r="DQ767" s="26"/>
      <c r="DR767" s="26"/>
      <c r="DS767" s="26"/>
      <c r="DT767" s="26"/>
      <c r="DU767" s="26"/>
      <c r="DV767" s="26"/>
      <c r="DW767" s="26"/>
      <c r="DX767" s="26"/>
      <c r="DY767" s="26"/>
      <c r="DZ767" s="26"/>
      <c r="EA767" s="26"/>
      <c r="EB767" s="26"/>
      <c r="EC767" s="26"/>
      <c r="ED767" s="26"/>
      <c r="EE767" s="26"/>
    </row>
    <row r="768" spans="1:135" ht="18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  <c r="DB768" s="26"/>
      <c r="DC768" s="26"/>
      <c r="DD768" s="26"/>
      <c r="DE768" s="26"/>
      <c r="DF768" s="26"/>
      <c r="DG768" s="26"/>
      <c r="DH768" s="26"/>
      <c r="DI768" s="26"/>
      <c r="DJ768" s="26"/>
      <c r="DK768" s="26"/>
      <c r="DL768" s="26"/>
      <c r="DM768" s="26"/>
      <c r="DN768" s="26"/>
      <c r="DO768" s="26"/>
      <c r="DP768" s="26"/>
      <c r="DQ768" s="26"/>
      <c r="DR768" s="26"/>
      <c r="DS768" s="26"/>
      <c r="DT768" s="26"/>
      <c r="DU768" s="26"/>
      <c r="DV768" s="26"/>
      <c r="DW768" s="26"/>
      <c r="DX768" s="26"/>
      <c r="DY768" s="26"/>
      <c r="DZ768" s="26"/>
      <c r="EA768" s="26"/>
      <c r="EB768" s="26"/>
      <c r="EC768" s="26"/>
      <c r="ED768" s="26"/>
      <c r="EE768" s="26"/>
    </row>
    <row r="769" spans="1:135" ht="18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  <c r="DC769" s="26"/>
      <c r="DD769" s="26"/>
      <c r="DE769" s="26"/>
      <c r="DF769" s="26"/>
      <c r="DG769" s="26"/>
      <c r="DH769" s="26"/>
      <c r="DI769" s="26"/>
      <c r="DJ769" s="26"/>
      <c r="DK769" s="26"/>
      <c r="DL769" s="26"/>
      <c r="DM769" s="26"/>
      <c r="DN769" s="26"/>
      <c r="DO769" s="26"/>
      <c r="DP769" s="26"/>
      <c r="DQ769" s="26"/>
      <c r="DR769" s="26"/>
      <c r="DS769" s="26"/>
      <c r="DT769" s="26"/>
      <c r="DU769" s="26"/>
      <c r="DV769" s="26"/>
      <c r="DW769" s="26"/>
      <c r="DX769" s="26"/>
      <c r="DY769" s="26"/>
      <c r="DZ769" s="26"/>
      <c r="EA769" s="26"/>
      <c r="EB769" s="26"/>
      <c r="EC769" s="26"/>
      <c r="ED769" s="26"/>
      <c r="EE769" s="26"/>
    </row>
    <row r="770" spans="1:135" ht="18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  <c r="DC770" s="26"/>
      <c r="DD770" s="26"/>
      <c r="DE770" s="26"/>
      <c r="DF770" s="26"/>
      <c r="DG770" s="26"/>
      <c r="DH770" s="26"/>
      <c r="DI770" s="26"/>
      <c r="DJ770" s="26"/>
      <c r="DK770" s="26"/>
      <c r="DL770" s="26"/>
      <c r="DM770" s="26"/>
      <c r="DN770" s="26"/>
      <c r="DO770" s="26"/>
      <c r="DP770" s="26"/>
      <c r="DQ770" s="26"/>
      <c r="DR770" s="26"/>
      <c r="DS770" s="26"/>
      <c r="DT770" s="26"/>
      <c r="DU770" s="26"/>
      <c r="DV770" s="26"/>
      <c r="DW770" s="26"/>
      <c r="DX770" s="26"/>
      <c r="DY770" s="26"/>
      <c r="DZ770" s="26"/>
      <c r="EA770" s="26"/>
      <c r="EB770" s="26"/>
      <c r="EC770" s="26"/>
      <c r="ED770" s="26"/>
      <c r="EE770" s="26"/>
    </row>
    <row r="771" spans="1:135" ht="18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  <c r="DB771" s="26"/>
      <c r="DC771" s="26"/>
      <c r="DD771" s="26"/>
      <c r="DE771" s="26"/>
      <c r="DF771" s="26"/>
      <c r="DG771" s="26"/>
      <c r="DH771" s="26"/>
      <c r="DI771" s="26"/>
      <c r="DJ771" s="26"/>
      <c r="DK771" s="26"/>
      <c r="DL771" s="26"/>
      <c r="DM771" s="26"/>
      <c r="DN771" s="26"/>
      <c r="DO771" s="26"/>
      <c r="DP771" s="26"/>
      <c r="DQ771" s="26"/>
      <c r="DR771" s="26"/>
      <c r="DS771" s="26"/>
      <c r="DT771" s="26"/>
      <c r="DU771" s="26"/>
      <c r="DV771" s="26"/>
      <c r="DW771" s="26"/>
      <c r="DX771" s="26"/>
      <c r="DY771" s="26"/>
      <c r="DZ771" s="26"/>
      <c r="EA771" s="26"/>
      <c r="EB771" s="26"/>
      <c r="EC771" s="26"/>
      <c r="ED771" s="26"/>
      <c r="EE771" s="26"/>
    </row>
    <row r="772" spans="1:135" ht="18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  <c r="DB772" s="26"/>
      <c r="DC772" s="26"/>
      <c r="DD772" s="26"/>
      <c r="DE772" s="26"/>
      <c r="DF772" s="26"/>
      <c r="DG772" s="26"/>
      <c r="DH772" s="26"/>
      <c r="DI772" s="26"/>
      <c r="DJ772" s="26"/>
      <c r="DK772" s="26"/>
      <c r="DL772" s="26"/>
      <c r="DM772" s="26"/>
      <c r="DN772" s="26"/>
      <c r="DO772" s="26"/>
      <c r="DP772" s="26"/>
      <c r="DQ772" s="26"/>
      <c r="DR772" s="26"/>
      <c r="DS772" s="26"/>
      <c r="DT772" s="26"/>
      <c r="DU772" s="26"/>
      <c r="DV772" s="26"/>
      <c r="DW772" s="26"/>
      <c r="DX772" s="26"/>
      <c r="DY772" s="26"/>
      <c r="DZ772" s="26"/>
      <c r="EA772" s="26"/>
      <c r="EB772" s="26"/>
      <c r="EC772" s="26"/>
      <c r="ED772" s="26"/>
      <c r="EE772" s="26"/>
    </row>
    <row r="773" spans="1:135" ht="18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  <c r="DJ773" s="26"/>
      <c r="DK773" s="26"/>
      <c r="DL773" s="26"/>
      <c r="DM773" s="26"/>
      <c r="DN773" s="26"/>
      <c r="DO773" s="26"/>
      <c r="DP773" s="26"/>
      <c r="DQ773" s="26"/>
      <c r="DR773" s="26"/>
      <c r="DS773" s="26"/>
      <c r="DT773" s="26"/>
      <c r="DU773" s="26"/>
      <c r="DV773" s="26"/>
      <c r="DW773" s="26"/>
      <c r="DX773" s="26"/>
      <c r="DY773" s="26"/>
      <c r="DZ773" s="26"/>
      <c r="EA773" s="26"/>
      <c r="EB773" s="26"/>
      <c r="EC773" s="26"/>
      <c r="ED773" s="26"/>
      <c r="EE773" s="26"/>
    </row>
    <row r="774" spans="1:135" ht="18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  <c r="DJ774" s="26"/>
      <c r="DK774" s="26"/>
      <c r="DL774" s="26"/>
      <c r="DM774" s="26"/>
      <c r="DN774" s="26"/>
      <c r="DO774" s="26"/>
      <c r="DP774" s="26"/>
      <c r="DQ774" s="26"/>
      <c r="DR774" s="26"/>
      <c r="DS774" s="26"/>
      <c r="DT774" s="26"/>
      <c r="DU774" s="26"/>
      <c r="DV774" s="26"/>
      <c r="DW774" s="26"/>
      <c r="DX774" s="26"/>
      <c r="DY774" s="26"/>
      <c r="DZ774" s="26"/>
      <c r="EA774" s="26"/>
      <c r="EB774" s="26"/>
      <c r="EC774" s="26"/>
      <c r="ED774" s="26"/>
      <c r="EE774" s="26"/>
    </row>
    <row r="775" spans="1:135" ht="18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  <c r="DJ775" s="26"/>
      <c r="DK775" s="26"/>
      <c r="DL775" s="26"/>
      <c r="DM775" s="26"/>
      <c r="DN775" s="26"/>
      <c r="DO775" s="26"/>
      <c r="DP775" s="26"/>
      <c r="DQ775" s="26"/>
      <c r="DR775" s="26"/>
      <c r="DS775" s="26"/>
      <c r="DT775" s="26"/>
      <c r="DU775" s="26"/>
      <c r="DV775" s="26"/>
      <c r="DW775" s="26"/>
      <c r="DX775" s="26"/>
      <c r="DY775" s="26"/>
      <c r="DZ775" s="26"/>
      <c r="EA775" s="26"/>
      <c r="EB775" s="26"/>
      <c r="EC775" s="26"/>
      <c r="ED775" s="26"/>
      <c r="EE775" s="26"/>
    </row>
    <row r="776" spans="1:135" ht="18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  <c r="DJ776" s="26"/>
      <c r="DK776" s="26"/>
      <c r="DL776" s="26"/>
      <c r="DM776" s="26"/>
      <c r="DN776" s="26"/>
      <c r="DO776" s="26"/>
      <c r="DP776" s="26"/>
      <c r="DQ776" s="26"/>
      <c r="DR776" s="26"/>
      <c r="DS776" s="26"/>
      <c r="DT776" s="26"/>
      <c r="DU776" s="26"/>
      <c r="DV776" s="26"/>
      <c r="DW776" s="26"/>
      <c r="DX776" s="26"/>
      <c r="DY776" s="26"/>
      <c r="DZ776" s="26"/>
      <c r="EA776" s="26"/>
      <c r="EB776" s="26"/>
      <c r="EC776" s="26"/>
      <c r="ED776" s="26"/>
      <c r="EE776" s="26"/>
    </row>
    <row r="777" spans="1:135" ht="18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  <c r="DB777" s="26"/>
      <c r="DC777" s="26"/>
      <c r="DD777" s="26"/>
      <c r="DE777" s="26"/>
      <c r="DF777" s="26"/>
      <c r="DG777" s="26"/>
      <c r="DH777" s="26"/>
      <c r="DI777" s="26"/>
      <c r="DJ777" s="26"/>
      <c r="DK777" s="26"/>
      <c r="DL777" s="26"/>
      <c r="DM777" s="26"/>
      <c r="DN777" s="26"/>
      <c r="DO777" s="26"/>
      <c r="DP777" s="26"/>
      <c r="DQ777" s="26"/>
      <c r="DR777" s="26"/>
      <c r="DS777" s="26"/>
      <c r="DT777" s="26"/>
      <c r="DU777" s="26"/>
      <c r="DV777" s="26"/>
      <c r="DW777" s="26"/>
      <c r="DX777" s="26"/>
      <c r="DY777" s="26"/>
      <c r="DZ777" s="26"/>
      <c r="EA777" s="26"/>
      <c r="EB777" s="26"/>
      <c r="EC777" s="26"/>
      <c r="ED777" s="26"/>
      <c r="EE777" s="26"/>
    </row>
    <row r="778" spans="1:135" ht="18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  <c r="DB778" s="26"/>
      <c r="DC778" s="26"/>
      <c r="DD778" s="26"/>
      <c r="DE778" s="26"/>
      <c r="DF778" s="26"/>
      <c r="DG778" s="26"/>
      <c r="DH778" s="26"/>
      <c r="DI778" s="26"/>
      <c r="DJ778" s="26"/>
      <c r="DK778" s="26"/>
      <c r="DL778" s="26"/>
      <c r="DM778" s="26"/>
      <c r="DN778" s="26"/>
      <c r="DO778" s="26"/>
      <c r="DP778" s="26"/>
      <c r="DQ778" s="26"/>
      <c r="DR778" s="26"/>
      <c r="DS778" s="26"/>
      <c r="DT778" s="26"/>
      <c r="DU778" s="26"/>
      <c r="DV778" s="26"/>
      <c r="DW778" s="26"/>
      <c r="DX778" s="26"/>
      <c r="DY778" s="26"/>
      <c r="DZ778" s="26"/>
      <c r="EA778" s="26"/>
      <c r="EB778" s="26"/>
      <c r="EC778" s="26"/>
      <c r="ED778" s="26"/>
      <c r="EE778" s="26"/>
    </row>
    <row r="779" spans="1:135" ht="18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  <c r="DB779" s="26"/>
      <c r="DC779" s="26"/>
      <c r="DD779" s="26"/>
      <c r="DE779" s="26"/>
      <c r="DF779" s="26"/>
      <c r="DG779" s="26"/>
      <c r="DH779" s="26"/>
      <c r="DI779" s="26"/>
      <c r="DJ779" s="26"/>
      <c r="DK779" s="26"/>
      <c r="DL779" s="26"/>
      <c r="DM779" s="26"/>
      <c r="DN779" s="26"/>
      <c r="DO779" s="26"/>
      <c r="DP779" s="26"/>
      <c r="DQ779" s="26"/>
      <c r="DR779" s="26"/>
      <c r="DS779" s="26"/>
      <c r="DT779" s="26"/>
      <c r="DU779" s="26"/>
      <c r="DV779" s="26"/>
      <c r="DW779" s="26"/>
      <c r="DX779" s="26"/>
      <c r="DY779" s="26"/>
      <c r="DZ779" s="26"/>
      <c r="EA779" s="26"/>
      <c r="EB779" s="26"/>
      <c r="EC779" s="26"/>
      <c r="ED779" s="26"/>
      <c r="EE779" s="26"/>
    </row>
    <row r="780" spans="1:135" ht="18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  <c r="DB780" s="26"/>
      <c r="DC780" s="26"/>
      <c r="DD780" s="26"/>
      <c r="DE780" s="26"/>
      <c r="DF780" s="26"/>
      <c r="DG780" s="26"/>
      <c r="DH780" s="26"/>
      <c r="DI780" s="26"/>
      <c r="DJ780" s="26"/>
      <c r="DK780" s="26"/>
      <c r="DL780" s="26"/>
      <c r="DM780" s="26"/>
      <c r="DN780" s="26"/>
      <c r="DO780" s="26"/>
      <c r="DP780" s="26"/>
      <c r="DQ780" s="26"/>
      <c r="DR780" s="26"/>
      <c r="DS780" s="26"/>
      <c r="DT780" s="26"/>
      <c r="DU780" s="26"/>
      <c r="DV780" s="26"/>
      <c r="DW780" s="26"/>
      <c r="DX780" s="26"/>
      <c r="DY780" s="26"/>
      <c r="DZ780" s="26"/>
      <c r="EA780" s="26"/>
      <c r="EB780" s="26"/>
      <c r="EC780" s="26"/>
      <c r="ED780" s="26"/>
      <c r="EE780" s="26"/>
    </row>
    <row r="781" spans="1:135" ht="18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  <c r="DB781" s="26"/>
      <c r="DC781" s="26"/>
      <c r="DD781" s="26"/>
      <c r="DE781" s="26"/>
      <c r="DF781" s="26"/>
      <c r="DG781" s="26"/>
      <c r="DH781" s="26"/>
      <c r="DI781" s="26"/>
      <c r="DJ781" s="26"/>
      <c r="DK781" s="26"/>
      <c r="DL781" s="26"/>
      <c r="DM781" s="26"/>
      <c r="DN781" s="26"/>
      <c r="DO781" s="26"/>
      <c r="DP781" s="26"/>
      <c r="DQ781" s="26"/>
      <c r="DR781" s="26"/>
      <c r="DS781" s="26"/>
      <c r="DT781" s="26"/>
      <c r="DU781" s="26"/>
      <c r="DV781" s="26"/>
      <c r="DW781" s="26"/>
      <c r="DX781" s="26"/>
      <c r="DY781" s="26"/>
      <c r="DZ781" s="26"/>
      <c r="EA781" s="26"/>
      <c r="EB781" s="26"/>
      <c r="EC781" s="26"/>
      <c r="ED781" s="26"/>
      <c r="EE781" s="26"/>
    </row>
    <row r="782" spans="1:135" ht="18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  <c r="DC782" s="26"/>
      <c r="DD782" s="26"/>
      <c r="DE782" s="26"/>
      <c r="DF782" s="26"/>
      <c r="DG782" s="26"/>
      <c r="DH782" s="26"/>
      <c r="DI782" s="26"/>
      <c r="DJ782" s="26"/>
      <c r="DK782" s="26"/>
      <c r="DL782" s="26"/>
      <c r="DM782" s="26"/>
      <c r="DN782" s="26"/>
      <c r="DO782" s="26"/>
      <c r="DP782" s="26"/>
      <c r="DQ782" s="26"/>
      <c r="DR782" s="26"/>
      <c r="DS782" s="26"/>
      <c r="DT782" s="26"/>
      <c r="DU782" s="26"/>
      <c r="DV782" s="26"/>
      <c r="DW782" s="26"/>
      <c r="DX782" s="26"/>
      <c r="DY782" s="26"/>
      <c r="DZ782" s="26"/>
      <c r="EA782" s="26"/>
      <c r="EB782" s="26"/>
      <c r="EC782" s="26"/>
      <c r="ED782" s="26"/>
      <c r="EE782" s="26"/>
    </row>
    <row r="783" spans="1:135" ht="18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  <c r="DB783" s="26"/>
      <c r="DC783" s="26"/>
      <c r="DD783" s="26"/>
      <c r="DE783" s="26"/>
      <c r="DF783" s="26"/>
      <c r="DG783" s="26"/>
      <c r="DH783" s="26"/>
      <c r="DI783" s="26"/>
      <c r="DJ783" s="26"/>
      <c r="DK783" s="26"/>
      <c r="DL783" s="26"/>
      <c r="DM783" s="26"/>
      <c r="DN783" s="26"/>
      <c r="DO783" s="26"/>
      <c r="DP783" s="26"/>
      <c r="DQ783" s="26"/>
      <c r="DR783" s="26"/>
      <c r="DS783" s="26"/>
      <c r="DT783" s="26"/>
      <c r="DU783" s="26"/>
      <c r="DV783" s="26"/>
      <c r="DW783" s="26"/>
      <c r="DX783" s="26"/>
      <c r="DY783" s="26"/>
      <c r="DZ783" s="26"/>
      <c r="EA783" s="26"/>
      <c r="EB783" s="26"/>
      <c r="EC783" s="26"/>
      <c r="ED783" s="26"/>
      <c r="EE783" s="26"/>
    </row>
    <row r="784" spans="1:135" ht="18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  <c r="DB784" s="26"/>
      <c r="DC784" s="26"/>
      <c r="DD784" s="26"/>
      <c r="DE784" s="26"/>
      <c r="DF784" s="26"/>
      <c r="DG784" s="26"/>
      <c r="DH784" s="26"/>
      <c r="DI784" s="26"/>
      <c r="DJ784" s="26"/>
      <c r="DK784" s="26"/>
      <c r="DL784" s="26"/>
      <c r="DM784" s="26"/>
      <c r="DN784" s="26"/>
      <c r="DO784" s="26"/>
      <c r="DP784" s="26"/>
      <c r="DQ784" s="26"/>
      <c r="DR784" s="26"/>
      <c r="DS784" s="26"/>
      <c r="DT784" s="26"/>
      <c r="DU784" s="26"/>
      <c r="DV784" s="26"/>
      <c r="DW784" s="26"/>
      <c r="DX784" s="26"/>
      <c r="DY784" s="26"/>
      <c r="DZ784" s="26"/>
      <c r="EA784" s="26"/>
      <c r="EB784" s="26"/>
      <c r="EC784" s="26"/>
      <c r="ED784" s="26"/>
      <c r="EE784" s="26"/>
    </row>
    <row r="785" spans="1:135" ht="18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  <c r="DB785" s="26"/>
      <c r="DC785" s="26"/>
      <c r="DD785" s="26"/>
      <c r="DE785" s="26"/>
      <c r="DF785" s="26"/>
      <c r="DG785" s="26"/>
      <c r="DH785" s="26"/>
      <c r="DI785" s="26"/>
      <c r="DJ785" s="26"/>
      <c r="DK785" s="26"/>
      <c r="DL785" s="26"/>
      <c r="DM785" s="26"/>
      <c r="DN785" s="26"/>
      <c r="DO785" s="26"/>
      <c r="DP785" s="26"/>
      <c r="DQ785" s="26"/>
      <c r="DR785" s="26"/>
      <c r="DS785" s="26"/>
      <c r="DT785" s="26"/>
      <c r="DU785" s="26"/>
      <c r="DV785" s="26"/>
      <c r="DW785" s="26"/>
      <c r="DX785" s="26"/>
      <c r="DY785" s="26"/>
      <c r="DZ785" s="26"/>
      <c r="EA785" s="26"/>
      <c r="EB785" s="26"/>
      <c r="EC785" s="26"/>
      <c r="ED785" s="26"/>
      <c r="EE785" s="26"/>
    </row>
    <row r="786" spans="1:135" ht="18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  <c r="DC786" s="26"/>
      <c r="DD786" s="26"/>
      <c r="DE786" s="26"/>
      <c r="DF786" s="26"/>
      <c r="DG786" s="26"/>
      <c r="DH786" s="26"/>
      <c r="DI786" s="26"/>
      <c r="DJ786" s="26"/>
      <c r="DK786" s="26"/>
      <c r="DL786" s="26"/>
      <c r="DM786" s="26"/>
      <c r="DN786" s="26"/>
      <c r="DO786" s="26"/>
      <c r="DP786" s="26"/>
      <c r="DQ786" s="26"/>
      <c r="DR786" s="26"/>
      <c r="DS786" s="26"/>
      <c r="DT786" s="26"/>
      <c r="DU786" s="26"/>
      <c r="DV786" s="26"/>
      <c r="DW786" s="26"/>
      <c r="DX786" s="26"/>
      <c r="DY786" s="26"/>
      <c r="DZ786" s="26"/>
      <c r="EA786" s="26"/>
      <c r="EB786" s="26"/>
      <c r="EC786" s="26"/>
      <c r="ED786" s="26"/>
      <c r="EE786" s="26"/>
    </row>
    <row r="787" spans="1:135" ht="18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  <c r="DJ787" s="26"/>
      <c r="DK787" s="26"/>
      <c r="DL787" s="26"/>
      <c r="DM787" s="26"/>
      <c r="DN787" s="26"/>
      <c r="DO787" s="26"/>
      <c r="DP787" s="26"/>
      <c r="DQ787" s="26"/>
      <c r="DR787" s="26"/>
      <c r="DS787" s="26"/>
      <c r="DT787" s="26"/>
      <c r="DU787" s="26"/>
      <c r="DV787" s="26"/>
      <c r="DW787" s="26"/>
      <c r="DX787" s="26"/>
      <c r="DY787" s="26"/>
      <c r="DZ787" s="26"/>
      <c r="EA787" s="26"/>
      <c r="EB787" s="26"/>
      <c r="EC787" s="26"/>
      <c r="ED787" s="26"/>
      <c r="EE787" s="26"/>
    </row>
    <row r="788" spans="1:135" ht="18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  <c r="DJ788" s="26"/>
      <c r="DK788" s="26"/>
      <c r="DL788" s="26"/>
      <c r="DM788" s="26"/>
      <c r="DN788" s="26"/>
      <c r="DO788" s="26"/>
      <c r="DP788" s="26"/>
      <c r="DQ788" s="26"/>
      <c r="DR788" s="26"/>
      <c r="DS788" s="26"/>
      <c r="DT788" s="26"/>
      <c r="DU788" s="26"/>
      <c r="DV788" s="26"/>
      <c r="DW788" s="26"/>
      <c r="DX788" s="26"/>
      <c r="DY788" s="26"/>
      <c r="DZ788" s="26"/>
      <c r="EA788" s="26"/>
      <c r="EB788" s="26"/>
      <c r="EC788" s="26"/>
      <c r="ED788" s="26"/>
      <c r="EE788" s="26"/>
    </row>
    <row r="789" spans="1:135" ht="18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  <c r="DJ789" s="26"/>
      <c r="DK789" s="26"/>
      <c r="DL789" s="26"/>
      <c r="DM789" s="26"/>
      <c r="DN789" s="26"/>
      <c r="DO789" s="26"/>
      <c r="DP789" s="26"/>
      <c r="DQ789" s="26"/>
      <c r="DR789" s="26"/>
      <c r="DS789" s="26"/>
      <c r="DT789" s="26"/>
      <c r="DU789" s="26"/>
      <c r="DV789" s="26"/>
      <c r="DW789" s="26"/>
      <c r="DX789" s="26"/>
      <c r="DY789" s="26"/>
      <c r="DZ789" s="26"/>
      <c r="EA789" s="26"/>
      <c r="EB789" s="26"/>
      <c r="EC789" s="26"/>
      <c r="ED789" s="26"/>
      <c r="EE789" s="26"/>
    </row>
    <row r="790" spans="1:135" ht="18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  <c r="DJ790" s="26"/>
      <c r="DK790" s="26"/>
      <c r="DL790" s="26"/>
      <c r="DM790" s="26"/>
      <c r="DN790" s="26"/>
      <c r="DO790" s="26"/>
      <c r="DP790" s="26"/>
      <c r="DQ790" s="26"/>
      <c r="DR790" s="26"/>
      <c r="DS790" s="26"/>
      <c r="DT790" s="26"/>
      <c r="DU790" s="26"/>
      <c r="DV790" s="26"/>
      <c r="DW790" s="26"/>
      <c r="DX790" s="26"/>
      <c r="DY790" s="26"/>
      <c r="DZ790" s="26"/>
      <c r="EA790" s="26"/>
      <c r="EB790" s="26"/>
      <c r="EC790" s="26"/>
      <c r="ED790" s="26"/>
      <c r="EE790" s="26"/>
    </row>
    <row r="791" spans="1:135" ht="18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  <c r="DB791" s="26"/>
      <c r="DC791" s="26"/>
      <c r="DD791" s="26"/>
      <c r="DE791" s="26"/>
      <c r="DF791" s="26"/>
      <c r="DG791" s="26"/>
      <c r="DH791" s="26"/>
      <c r="DI791" s="26"/>
      <c r="DJ791" s="26"/>
      <c r="DK791" s="26"/>
      <c r="DL791" s="26"/>
      <c r="DM791" s="26"/>
      <c r="DN791" s="26"/>
      <c r="DO791" s="26"/>
      <c r="DP791" s="26"/>
      <c r="DQ791" s="26"/>
      <c r="DR791" s="26"/>
      <c r="DS791" s="26"/>
      <c r="DT791" s="26"/>
      <c r="DU791" s="26"/>
      <c r="DV791" s="26"/>
      <c r="DW791" s="26"/>
      <c r="DX791" s="26"/>
      <c r="DY791" s="26"/>
      <c r="DZ791" s="26"/>
      <c r="EA791" s="26"/>
      <c r="EB791" s="26"/>
      <c r="EC791" s="26"/>
      <c r="ED791" s="26"/>
      <c r="EE791" s="26"/>
    </row>
    <row r="792" spans="1:135" ht="18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  <c r="DB792" s="26"/>
      <c r="DC792" s="26"/>
      <c r="DD792" s="26"/>
      <c r="DE792" s="26"/>
      <c r="DF792" s="26"/>
      <c r="DG792" s="26"/>
      <c r="DH792" s="26"/>
      <c r="DI792" s="26"/>
      <c r="DJ792" s="26"/>
      <c r="DK792" s="26"/>
      <c r="DL792" s="26"/>
      <c r="DM792" s="26"/>
      <c r="DN792" s="26"/>
      <c r="DO792" s="26"/>
      <c r="DP792" s="26"/>
      <c r="DQ792" s="26"/>
      <c r="DR792" s="26"/>
      <c r="DS792" s="26"/>
      <c r="DT792" s="26"/>
      <c r="DU792" s="26"/>
      <c r="DV792" s="26"/>
      <c r="DW792" s="26"/>
      <c r="DX792" s="26"/>
      <c r="DY792" s="26"/>
      <c r="DZ792" s="26"/>
      <c r="EA792" s="26"/>
      <c r="EB792" s="26"/>
      <c r="EC792" s="26"/>
      <c r="ED792" s="26"/>
      <c r="EE792" s="26"/>
    </row>
    <row r="793" spans="1:135" ht="18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  <c r="DB793" s="26"/>
      <c r="DC793" s="26"/>
      <c r="DD793" s="26"/>
      <c r="DE793" s="26"/>
      <c r="DF793" s="26"/>
      <c r="DG793" s="26"/>
      <c r="DH793" s="26"/>
      <c r="DI793" s="26"/>
      <c r="DJ793" s="26"/>
      <c r="DK793" s="26"/>
      <c r="DL793" s="26"/>
      <c r="DM793" s="26"/>
      <c r="DN793" s="26"/>
      <c r="DO793" s="26"/>
      <c r="DP793" s="26"/>
      <c r="DQ793" s="26"/>
      <c r="DR793" s="26"/>
      <c r="DS793" s="26"/>
      <c r="DT793" s="26"/>
      <c r="DU793" s="26"/>
      <c r="DV793" s="26"/>
      <c r="DW793" s="26"/>
      <c r="DX793" s="26"/>
      <c r="DY793" s="26"/>
      <c r="DZ793" s="26"/>
      <c r="EA793" s="26"/>
      <c r="EB793" s="26"/>
      <c r="EC793" s="26"/>
      <c r="ED793" s="26"/>
      <c r="EE793" s="26"/>
    </row>
    <row r="794" spans="1:135" ht="18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  <c r="DC794" s="26"/>
      <c r="DD794" s="26"/>
      <c r="DE794" s="26"/>
      <c r="DF794" s="26"/>
      <c r="DG794" s="26"/>
      <c r="DH794" s="26"/>
      <c r="DI794" s="26"/>
      <c r="DJ794" s="26"/>
      <c r="DK794" s="26"/>
      <c r="DL794" s="26"/>
      <c r="DM794" s="26"/>
      <c r="DN794" s="26"/>
      <c r="DO794" s="26"/>
      <c r="DP794" s="26"/>
      <c r="DQ794" s="26"/>
      <c r="DR794" s="26"/>
      <c r="DS794" s="26"/>
      <c r="DT794" s="26"/>
      <c r="DU794" s="26"/>
      <c r="DV794" s="26"/>
      <c r="DW794" s="26"/>
      <c r="DX794" s="26"/>
      <c r="DY794" s="26"/>
      <c r="DZ794" s="26"/>
      <c r="EA794" s="26"/>
      <c r="EB794" s="26"/>
      <c r="EC794" s="26"/>
      <c r="ED794" s="26"/>
      <c r="EE794" s="26"/>
    </row>
    <row r="795" spans="1:135" ht="18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/>
      <c r="DD795" s="26"/>
      <c r="DE795" s="26"/>
      <c r="DF795" s="26"/>
      <c r="DG795" s="26"/>
      <c r="DH795" s="26"/>
      <c r="DI795" s="26"/>
      <c r="DJ795" s="26"/>
      <c r="DK795" s="26"/>
      <c r="DL795" s="26"/>
      <c r="DM795" s="26"/>
      <c r="DN795" s="26"/>
      <c r="DO795" s="26"/>
      <c r="DP795" s="26"/>
      <c r="DQ795" s="26"/>
      <c r="DR795" s="26"/>
      <c r="DS795" s="26"/>
      <c r="DT795" s="26"/>
      <c r="DU795" s="26"/>
      <c r="DV795" s="26"/>
      <c r="DW795" s="26"/>
      <c r="DX795" s="26"/>
      <c r="DY795" s="26"/>
      <c r="DZ795" s="26"/>
      <c r="EA795" s="26"/>
      <c r="EB795" s="26"/>
      <c r="EC795" s="26"/>
      <c r="ED795" s="26"/>
      <c r="EE795" s="26"/>
    </row>
    <row r="796" spans="1:135" ht="18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  <c r="DC796" s="26"/>
      <c r="DD796" s="26"/>
      <c r="DE796" s="26"/>
      <c r="DF796" s="26"/>
      <c r="DG796" s="26"/>
      <c r="DH796" s="26"/>
      <c r="DI796" s="26"/>
      <c r="DJ796" s="26"/>
      <c r="DK796" s="26"/>
      <c r="DL796" s="26"/>
      <c r="DM796" s="26"/>
      <c r="DN796" s="26"/>
      <c r="DO796" s="26"/>
      <c r="DP796" s="26"/>
      <c r="DQ796" s="26"/>
      <c r="DR796" s="26"/>
      <c r="DS796" s="26"/>
      <c r="DT796" s="26"/>
      <c r="DU796" s="26"/>
      <c r="DV796" s="26"/>
      <c r="DW796" s="26"/>
      <c r="DX796" s="26"/>
      <c r="DY796" s="26"/>
      <c r="DZ796" s="26"/>
      <c r="EA796" s="26"/>
      <c r="EB796" s="26"/>
      <c r="EC796" s="26"/>
      <c r="ED796" s="26"/>
      <c r="EE796" s="26"/>
    </row>
    <row r="797" spans="1:135" ht="18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/>
      <c r="DD797" s="26"/>
      <c r="DE797" s="26"/>
      <c r="DF797" s="26"/>
      <c r="DG797" s="26"/>
      <c r="DH797" s="26"/>
      <c r="DI797" s="26"/>
      <c r="DJ797" s="26"/>
      <c r="DK797" s="26"/>
      <c r="DL797" s="26"/>
      <c r="DM797" s="26"/>
      <c r="DN797" s="26"/>
      <c r="DO797" s="26"/>
      <c r="DP797" s="26"/>
      <c r="DQ797" s="26"/>
      <c r="DR797" s="26"/>
      <c r="DS797" s="26"/>
      <c r="DT797" s="26"/>
      <c r="DU797" s="26"/>
      <c r="DV797" s="26"/>
      <c r="DW797" s="26"/>
      <c r="DX797" s="26"/>
      <c r="DY797" s="26"/>
      <c r="DZ797" s="26"/>
      <c r="EA797" s="26"/>
      <c r="EB797" s="26"/>
      <c r="EC797" s="26"/>
      <c r="ED797" s="26"/>
      <c r="EE797" s="26"/>
    </row>
    <row r="798" spans="1:135" ht="18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  <c r="DC798" s="26"/>
      <c r="DD798" s="26"/>
      <c r="DE798" s="26"/>
      <c r="DF798" s="26"/>
      <c r="DG798" s="26"/>
      <c r="DH798" s="26"/>
      <c r="DI798" s="26"/>
      <c r="DJ798" s="26"/>
      <c r="DK798" s="26"/>
      <c r="DL798" s="26"/>
      <c r="DM798" s="26"/>
      <c r="DN798" s="26"/>
      <c r="DO798" s="26"/>
      <c r="DP798" s="26"/>
      <c r="DQ798" s="26"/>
      <c r="DR798" s="26"/>
      <c r="DS798" s="26"/>
      <c r="DT798" s="26"/>
      <c r="DU798" s="26"/>
      <c r="DV798" s="26"/>
      <c r="DW798" s="26"/>
      <c r="DX798" s="26"/>
      <c r="DY798" s="26"/>
      <c r="DZ798" s="26"/>
      <c r="EA798" s="26"/>
      <c r="EB798" s="26"/>
      <c r="EC798" s="26"/>
      <c r="ED798" s="26"/>
      <c r="EE798" s="26"/>
    </row>
    <row r="799" spans="1:135" ht="18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  <c r="DC799" s="26"/>
      <c r="DD799" s="26"/>
      <c r="DE799" s="26"/>
      <c r="DF799" s="26"/>
      <c r="DG799" s="26"/>
      <c r="DH799" s="26"/>
      <c r="DI799" s="26"/>
      <c r="DJ799" s="26"/>
      <c r="DK799" s="26"/>
      <c r="DL799" s="26"/>
      <c r="DM799" s="26"/>
      <c r="DN799" s="26"/>
      <c r="DO799" s="26"/>
      <c r="DP799" s="26"/>
      <c r="DQ799" s="26"/>
      <c r="DR799" s="26"/>
      <c r="DS799" s="26"/>
      <c r="DT799" s="26"/>
      <c r="DU799" s="26"/>
      <c r="DV799" s="26"/>
      <c r="DW799" s="26"/>
      <c r="DX799" s="26"/>
      <c r="DY799" s="26"/>
      <c r="DZ799" s="26"/>
      <c r="EA799" s="26"/>
      <c r="EB799" s="26"/>
      <c r="EC799" s="26"/>
      <c r="ED799" s="26"/>
      <c r="EE799" s="26"/>
    </row>
    <row r="800" spans="1:135" ht="18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  <c r="DC800" s="26"/>
      <c r="DD800" s="26"/>
      <c r="DE800" s="26"/>
      <c r="DF800" s="26"/>
      <c r="DG800" s="26"/>
      <c r="DH800" s="26"/>
      <c r="DI800" s="26"/>
      <c r="DJ800" s="26"/>
      <c r="DK800" s="26"/>
      <c r="DL800" s="26"/>
      <c r="DM800" s="26"/>
      <c r="DN800" s="26"/>
      <c r="DO800" s="26"/>
      <c r="DP800" s="26"/>
      <c r="DQ800" s="26"/>
      <c r="DR800" s="26"/>
      <c r="DS800" s="26"/>
      <c r="DT800" s="26"/>
      <c r="DU800" s="26"/>
      <c r="DV800" s="26"/>
      <c r="DW800" s="26"/>
      <c r="DX800" s="26"/>
      <c r="DY800" s="26"/>
      <c r="DZ800" s="26"/>
      <c r="EA800" s="26"/>
      <c r="EB800" s="26"/>
      <c r="EC800" s="26"/>
      <c r="ED800" s="26"/>
      <c r="EE800" s="26"/>
    </row>
    <row r="801" spans="1:135" ht="18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  <c r="DC801" s="26"/>
      <c r="DD801" s="26"/>
      <c r="DE801" s="26"/>
      <c r="DF801" s="26"/>
      <c r="DG801" s="26"/>
      <c r="DH801" s="26"/>
      <c r="DI801" s="26"/>
      <c r="DJ801" s="26"/>
      <c r="DK801" s="26"/>
      <c r="DL801" s="26"/>
      <c r="DM801" s="26"/>
      <c r="DN801" s="26"/>
      <c r="DO801" s="26"/>
      <c r="DP801" s="26"/>
      <c r="DQ801" s="26"/>
      <c r="DR801" s="26"/>
      <c r="DS801" s="26"/>
      <c r="DT801" s="26"/>
      <c r="DU801" s="26"/>
      <c r="DV801" s="26"/>
      <c r="DW801" s="26"/>
      <c r="DX801" s="26"/>
      <c r="DY801" s="26"/>
      <c r="DZ801" s="26"/>
      <c r="EA801" s="26"/>
      <c r="EB801" s="26"/>
      <c r="EC801" s="26"/>
      <c r="ED801" s="26"/>
      <c r="EE801" s="26"/>
    </row>
    <row r="802" spans="1:135" ht="18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  <c r="DC802" s="26"/>
      <c r="DD802" s="26"/>
      <c r="DE802" s="26"/>
      <c r="DF802" s="26"/>
      <c r="DG802" s="26"/>
      <c r="DH802" s="26"/>
      <c r="DI802" s="26"/>
      <c r="DJ802" s="26"/>
      <c r="DK802" s="26"/>
      <c r="DL802" s="26"/>
      <c r="DM802" s="26"/>
      <c r="DN802" s="26"/>
      <c r="DO802" s="26"/>
      <c r="DP802" s="26"/>
      <c r="DQ802" s="26"/>
      <c r="DR802" s="26"/>
      <c r="DS802" s="26"/>
      <c r="DT802" s="26"/>
      <c r="DU802" s="26"/>
      <c r="DV802" s="26"/>
      <c r="DW802" s="26"/>
      <c r="DX802" s="26"/>
      <c r="DY802" s="26"/>
      <c r="DZ802" s="26"/>
      <c r="EA802" s="26"/>
      <c r="EB802" s="26"/>
      <c r="EC802" s="26"/>
      <c r="ED802" s="26"/>
      <c r="EE802" s="26"/>
    </row>
    <row r="803" spans="1:135" ht="18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  <c r="DC803" s="26"/>
      <c r="DD803" s="26"/>
      <c r="DE803" s="26"/>
      <c r="DF803" s="26"/>
      <c r="DG803" s="26"/>
      <c r="DH803" s="26"/>
      <c r="DI803" s="26"/>
      <c r="DJ803" s="26"/>
      <c r="DK803" s="26"/>
      <c r="DL803" s="26"/>
      <c r="DM803" s="26"/>
      <c r="DN803" s="26"/>
      <c r="DO803" s="26"/>
      <c r="DP803" s="26"/>
      <c r="DQ803" s="26"/>
      <c r="DR803" s="26"/>
      <c r="DS803" s="26"/>
      <c r="DT803" s="26"/>
      <c r="DU803" s="26"/>
      <c r="DV803" s="26"/>
      <c r="DW803" s="26"/>
      <c r="DX803" s="26"/>
      <c r="DY803" s="26"/>
      <c r="DZ803" s="26"/>
      <c r="EA803" s="26"/>
      <c r="EB803" s="26"/>
      <c r="EC803" s="26"/>
      <c r="ED803" s="26"/>
      <c r="EE803" s="26"/>
    </row>
    <row r="804" spans="1:135" ht="18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  <c r="DC804" s="26"/>
      <c r="DD804" s="26"/>
      <c r="DE804" s="26"/>
      <c r="DF804" s="26"/>
      <c r="DG804" s="26"/>
      <c r="DH804" s="26"/>
      <c r="DI804" s="26"/>
      <c r="DJ804" s="26"/>
      <c r="DK804" s="26"/>
      <c r="DL804" s="26"/>
      <c r="DM804" s="26"/>
      <c r="DN804" s="26"/>
      <c r="DO804" s="26"/>
      <c r="DP804" s="26"/>
      <c r="DQ804" s="26"/>
      <c r="DR804" s="26"/>
      <c r="DS804" s="26"/>
      <c r="DT804" s="26"/>
      <c r="DU804" s="26"/>
      <c r="DV804" s="26"/>
      <c r="DW804" s="26"/>
      <c r="DX804" s="26"/>
      <c r="DY804" s="26"/>
      <c r="DZ804" s="26"/>
      <c r="EA804" s="26"/>
      <c r="EB804" s="26"/>
      <c r="EC804" s="26"/>
      <c r="ED804" s="26"/>
      <c r="EE804" s="26"/>
    </row>
    <row r="805" spans="1:135" ht="18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  <c r="DC805" s="26"/>
      <c r="DD805" s="26"/>
      <c r="DE805" s="26"/>
      <c r="DF805" s="26"/>
      <c r="DG805" s="26"/>
      <c r="DH805" s="26"/>
      <c r="DI805" s="26"/>
      <c r="DJ805" s="26"/>
      <c r="DK805" s="26"/>
      <c r="DL805" s="26"/>
      <c r="DM805" s="26"/>
      <c r="DN805" s="26"/>
      <c r="DO805" s="26"/>
      <c r="DP805" s="26"/>
      <c r="DQ805" s="26"/>
      <c r="DR805" s="26"/>
      <c r="DS805" s="26"/>
      <c r="DT805" s="26"/>
      <c r="DU805" s="26"/>
      <c r="DV805" s="26"/>
      <c r="DW805" s="26"/>
      <c r="DX805" s="26"/>
      <c r="DY805" s="26"/>
      <c r="DZ805" s="26"/>
      <c r="EA805" s="26"/>
      <c r="EB805" s="26"/>
      <c r="EC805" s="26"/>
      <c r="ED805" s="26"/>
      <c r="EE805" s="26"/>
    </row>
    <row r="806" spans="1:135" ht="18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  <c r="DB806" s="26"/>
      <c r="DC806" s="26"/>
      <c r="DD806" s="26"/>
      <c r="DE806" s="26"/>
      <c r="DF806" s="26"/>
      <c r="DG806" s="26"/>
      <c r="DH806" s="26"/>
      <c r="DI806" s="26"/>
      <c r="DJ806" s="26"/>
      <c r="DK806" s="26"/>
      <c r="DL806" s="26"/>
      <c r="DM806" s="26"/>
      <c r="DN806" s="26"/>
      <c r="DO806" s="26"/>
      <c r="DP806" s="26"/>
      <c r="DQ806" s="26"/>
      <c r="DR806" s="26"/>
      <c r="DS806" s="26"/>
      <c r="DT806" s="26"/>
      <c r="DU806" s="26"/>
      <c r="DV806" s="26"/>
      <c r="DW806" s="26"/>
      <c r="DX806" s="26"/>
      <c r="DY806" s="26"/>
      <c r="DZ806" s="26"/>
      <c r="EA806" s="26"/>
      <c r="EB806" s="26"/>
      <c r="EC806" s="26"/>
      <c r="ED806" s="26"/>
      <c r="EE806" s="26"/>
    </row>
    <row r="807" spans="1:135" ht="18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  <c r="DC807" s="26"/>
      <c r="DD807" s="26"/>
      <c r="DE807" s="26"/>
      <c r="DF807" s="26"/>
      <c r="DG807" s="26"/>
      <c r="DH807" s="26"/>
      <c r="DI807" s="26"/>
      <c r="DJ807" s="26"/>
      <c r="DK807" s="26"/>
      <c r="DL807" s="26"/>
      <c r="DM807" s="26"/>
      <c r="DN807" s="26"/>
      <c r="DO807" s="26"/>
      <c r="DP807" s="26"/>
      <c r="DQ807" s="26"/>
      <c r="DR807" s="26"/>
      <c r="DS807" s="26"/>
      <c r="DT807" s="26"/>
      <c r="DU807" s="26"/>
      <c r="DV807" s="26"/>
      <c r="DW807" s="26"/>
      <c r="DX807" s="26"/>
      <c r="DY807" s="26"/>
      <c r="DZ807" s="26"/>
      <c r="EA807" s="26"/>
      <c r="EB807" s="26"/>
      <c r="EC807" s="26"/>
      <c r="ED807" s="26"/>
      <c r="EE807" s="26"/>
    </row>
    <row r="808" spans="1:135" ht="18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  <c r="DB808" s="26"/>
      <c r="DC808" s="26"/>
      <c r="DD808" s="26"/>
      <c r="DE808" s="26"/>
      <c r="DF808" s="26"/>
      <c r="DG808" s="26"/>
      <c r="DH808" s="26"/>
      <c r="DI808" s="26"/>
      <c r="DJ808" s="26"/>
      <c r="DK808" s="26"/>
      <c r="DL808" s="26"/>
      <c r="DM808" s="26"/>
      <c r="DN808" s="26"/>
      <c r="DO808" s="26"/>
      <c r="DP808" s="26"/>
      <c r="DQ808" s="26"/>
      <c r="DR808" s="26"/>
      <c r="DS808" s="26"/>
      <c r="DT808" s="26"/>
      <c r="DU808" s="26"/>
      <c r="DV808" s="26"/>
      <c r="DW808" s="26"/>
      <c r="DX808" s="26"/>
      <c r="DY808" s="26"/>
      <c r="DZ808" s="26"/>
      <c r="EA808" s="26"/>
      <c r="EB808" s="26"/>
      <c r="EC808" s="26"/>
      <c r="ED808" s="26"/>
      <c r="EE808" s="26"/>
    </row>
    <row r="809" spans="1:135" ht="18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  <c r="DC809" s="26"/>
      <c r="DD809" s="26"/>
      <c r="DE809" s="26"/>
      <c r="DF809" s="26"/>
      <c r="DG809" s="26"/>
      <c r="DH809" s="26"/>
      <c r="DI809" s="26"/>
      <c r="DJ809" s="26"/>
      <c r="DK809" s="26"/>
      <c r="DL809" s="26"/>
      <c r="DM809" s="26"/>
      <c r="DN809" s="26"/>
      <c r="DO809" s="26"/>
      <c r="DP809" s="26"/>
      <c r="DQ809" s="26"/>
      <c r="DR809" s="26"/>
      <c r="DS809" s="26"/>
      <c r="DT809" s="26"/>
      <c r="DU809" s="26"/>
      <c r="DV809" s="26"/>
      <c r="DW809" s="26"/>
      <c r="DX809" s="26"/>
      <c r="DY809" s="26"/>
      <c r="DZ809" s="26"/>
      <c r="EA809" s="26"/>
      <c r="EB809" s="26"/>
      <c r="EC809" s="26"/>
      <c r="ED809" s="26"/>
      <c r="EE809" s="26"/>
    </row>
    <row r="810" spans="1:135" ht="18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  <c r="DC810" s="26"/>
      <c r="DD810" s="26"/>
      <c r="DE810" s="26"/>
      <c r="DF810" s="26"/>
      <c r="DG810" s="26"/>
      <c r="DH810" s="26"/>
      <c r="DI810" s="26"/>
      <c r="DJ810" s="26"/>
      <c r="DK810" s="26"/>
      <c r="DL810" s="26"/>
      <c r="DM810" s="26"/>
      <c r="DN810" s="26"/>
      <c r="DO810" s="26"/>
      <c r="DP810" s="26"/>
      <c r="DQ810" s="26"/>
      <c r="DR810" s="26"/>
      <c r="DS810" s="26"/>
      <c r="DT810" s="26"/>
      <c r="DU810" s="26"/>
      <c r="DV810" s="26"/>
      <c r="DW810" s="26"/>
      <c r="DX810" s="26"/>
      <c r="DY810" s="26"/>
      <c r="DZ810" s="26"/>
      <c r="EA810" s="26"/>
      <c r="EB810" s="26"/>
      <c r="EC810" s="26"/>
      <c r="ED810" s="26"/>
      <c r="EE810" s="26"/>
    </row>
    <row r="811" spans="1:135" ht="18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  <c r="DB811" s="26"/>
      <c r="DC811" s="26"/>
      <c r="DD811" s="26"/>
      <c r="DE811" s="26"/>
      <c r="DF811" s="26"/>
      <c r="DG811" s="26"/>
      <c r="DH811" s="26"/>
      <c r="DI811" s="26"/>
      <c r="DJ811" s="26"/>
      <c r="DK811" s="26"/>
      <c r="DL811" s="26"/>
      <c r="DM811" s="26"/>
      <c r="DN811" s="26"/>
      <c r="DO811" s="26"/>
      <c r="DP811" s="26"/>
      <c r="DQ811" s="26"/>
      <c r="DR811" s="26"/>
      <c r="DS811" s="26"/>
      <c r="DT811" s="26"/>
      <c r="DU811" s="26"/>
      <c r="DV811" s="26"/>
      <c r="DW811" s="26"/>
      <c r="DX811" s="26"/>
      <c r="DY811" s="26"/>
      <c r="DZ811" s="26"/>
      <c r="EA811" s="26"/>
      <c r="EB811" s="26"/>
      <c r="EC811" s="26"/>
      <c r="ED811" s="26"/>
      <c r="EE811" s="26"/>
    </row>
    <row r="812" spans="1:135" ht="18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  <c r="DC812" s="26"/>
      <c r="DD812" s="26"/>
      <c r="DE812" s="26"/>
      <c r="DF812" s="26"/>
      <c r="DG812" s="26"/>
      <c r="DH812" s="26"/>
      <c r="DI812" s="26"/>
      <c r="DJ812" s="26"/>
      <c r="DK812" s="26"/>
      <c r="DL812" s="26"/>
      <c r="DM812" s="26"/>
      <c r="DN812" s="26"/>
      <c r="DO812" s="26"/>
      <c r="DP812" s="26"/>
      <c r="DQ812" s="26"/>
      <c r="DR812" s="26"/>
      <c r="DS812" s="26"/>
      <c r="DT812" s="26"/>
      <c r="DU812" s="26"/>
      <c r="DV812" s="26"/>
      <c r="DW812" s="26"/>
      <c r="DX812" s="26"/>
      <c r="DY812" s="26"/>
      <c r="DZ812" s="26"/>
      <c r="EA812" s="26"/>
      <c r="EB812" s="26"/>
      <c r="EC812" s="26"/>
      <c r="ED812" s="26"/>
      <c r="EE812" s="26"/>
    </row>
    <row r="813" spans="1:135" ht="18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  <c r="DC813" s="26"/>
      <c r="DD813" s="26"/>
      <c r="DE813" s="26"/>
      <c r="DF813" s="26"/>
      <c r="DG813" s="26"/>
      <c r="DH813" s="26"/>
      <c r="DI813" s="26"/>
      <c r="DJ813" s="26"/>
      <c r="DK813" s="26"/>
      <c r="DL813" s="26"/>
      <c r="DM813" s="26"/>
      <c r="DN813" s="26"/>
      <c r="DO813" s="26"/>
      <c r="DP813" s="26"/>
      <c r="DQ813" s="26"/>
      <c r="DR813" s="26"/>
      <c r="DS813" s="26"/>
      <c r="DT813" s="26"/>
      <c r="DU813" s="26"/>
      <c r="DV813" s="26"/>
      <c r="DW813" s="26"/>
      <c r="DX813" s="26"/>
      <c r="DY813" s="26"/>
      <c r="DZ813" s="26"/>
      <c r="EA813" s="26"/>
      <c r="EB813" s="26"/>
      <c r="EC813" s="26"/>
      <c r="ED813" s="26"/>
      <c r="EE813" s="26"/>
    </row>
    <row r="814" spans="1:135" ht="18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  <c r="DC814" s="26"/>
      <c r="DD814" s="26"/>
      <c r="DE814" s="26"/>
      <c r="DF814" s="26"/>
      <c r="DG814" s="26"/>
      <c r="DH814" s="26"/>
      <c r="DI814" s="26"/>
      <c r="DJ814" s="26"/>
      <c r="DK814" s="26"/>
      <c r="DL814" s="26"/>
      <c r="DM814" s="26"/>
      <c r="DN814" s="26"/>
      <c r="DO814" s="26"/>
      <c r="DP814" s="26"/>
      <c r="DQ814" s="26"/>
      <c r="DR814" s="26"/>
      <c r="DS814" s="26"/>
      <c r="DT814" s="26"/>
      <c r="DU814" s="26"/>
      <c r="DV814" s="26"/>
      <c r="DW814" s="26"/>
      <c r="DX814" s="26"/>
      <c r="DY814" s="26"/>
      <c r="DZ814" s="26"/>
      <c r="EA814" s="26"/>
      <c r="EB814" s="26"/>
      <c r="EC814" s="26"/>
      <c r="ED814" s="26"/>
      <c r="EE814" s="26"/>
    </row>
    <row r="815" spans="1:135" ht="18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  <c r="DB815" s="26"/>
      <c r="DC815" s="26"/>
      <c r="DD815" s="26"/>
      <c r="DE815" s="26"/>
      <c r="DF815" s="26"/>
      <c r="DG815" s="26"/>
      <c r="DH815" s="26"/>
      <c r="DI815" s="26"/>
      <c r="DJ815" s="26"/>
      <c r="DK815" s="26"/>
      <c r="DL815" s="26"/>
      <c r="DM815" s="26"/>
      <c r="DN815" s="26"/>
      <c r="DO815" s="26"/>
      <c r="DP815" s="26"/>
      <c r="DQ815" s="26"/>
      <c r="DR815" s="26"/>
      <c r="DS815" s="26"/>
      <c r="DT815" s="26"/>
      <c r="DU815" s="26"/>
      <c r="DV815" s="26"/>
      <c r="DW815" s="26"/>
      <c r="DX815" s="26"/>
      <c r="DY815" s="26"/>
      <c r="DZ815" s="26"/>
      <c r="EA815" s="26"/>
      <c r="EB815" s="26"/>
      <c r="EC815" s="26"/>
      <c r="ED815" s="26"/>
      <c r="EE815" s="26"/>
    </row>
    <row r="816" spans="1:135" ht="18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  <c r="DB816" s="26"/>
      <c r="DC816" s="26"/>
      <c r="DD816" s="26"/>
      <c r="DE816" s="26"/>
      <c r="DF816" s="26"/>
      <c r="DG816" s="26"/>
      <c r="DH816" s="26"/>
      <c r="DI816" s="26"/>
      <c r="DJ816" s="26"/>
      <c r="DK816" s="26"/>
      <c r="DL816" s="26"/>
      <c r="DM816" s="26"/>
      <c r="DN816" s="26"/>
      <c r="DO816" s="26"/>
      <c r="DP816" s="26"/>
      <c r="DQ816" s="26"/>
      <c r="DR816" s="26"/>
      <c r="DS816" s="26"/>
      <c r="DT816" s="26"/>
      <c r="DU816" s="26"/>
      <c r="DV816" s="26"/>
      <c r="DW816" s="26"/>
      <c r="DX816" s="26"/>
      <c r="DY816" s="26"/>
      <c r="DZ816" s="26"/>
      <c r="EA816" s="26"/>
      <c r="EB816" s="26"/>
      <c r="EC816" s="26"/>
      <c r="ED816" s="26"/>
      <c r="EE816" s="26"/>
    </row>
    <row r="817" spans="1:135" ht="18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  <c r="DC817" s="26"/>
      <c r="DD817" s="26"/>
      <c r="DE817" s="26"/>
      <c r="DF817" s="26"/>
      <c r="DG817" s="26"/>
      <c r="DH817" s="26"/>
      <c r="DI817" s="26"/>
      <c r="DJ817" s="26"/>
      <c r="DK817" s="26"/>
      <c r="DL817" s="26"/>
      <c r="DM817" s="26"/>
      <c r="DN817" s="26"/>
      <c r="DO817" s="26"/>
      <c r="DP817" s="26"/>
      <c r="DQ817" s="26"/>
      <c r="DR817" s="26"/>
      <c r="DS817" s="26"/>
      <c r="DT817" s="26"/>
      <c r="DU817" s="26"/>
      <c r="DV817" s="26"/>
      <c r="DW817" s="26"/>
      <c r="DX817" s="26"/>
      <c r="DY817" s="26"/>
      <c r="DZ817" s="26"/>
      <c r="EA817" s="26"/>
      <c r="EB817" s="26"/>
      <c r="EC817" s="26"/>
      <c r="ED817" s="26"/>
      <c r="EE817" s="26"/>
    </row>
    <row r="818" spans="1:135" ht="18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  <c r="DC818" s="26"/>
      <c r="DD818" s="26"/>
      <c r="DE818" s="26"/>
      <c r="DF818" s="26"/>
      <c r="DG818" s="26"/>
      <c r="DH818" s="26"/>
      <c r="DI818" s="26"/>
      <c r="DJ818" s="26"/>
      <c r="DK818" s="26"/>
      <c r="DL818" s="26"/>
      <c r="DM818" s="26"/>
      <c r="DN818" s="26"/>
      <c r="DO818" s="26"/>
      <c r="DP818" s="26"/>
      <c r="DQ818" s="26"/>
      <c r="DR818" s="26"/>
      <c r="DS818" s="26"/>
      <c r="DT818" s="26"/>
      <c r="DU818" s="26"/>
      <c r="DV818" s="26"/>
      <c r="DW818" s="26"/>
      <c r="DX818" s="26"/>
      <c r="DY818" s="26"/>
      <c r="DZ818" s="26"/>
      <c r="EA818" s="26"/>
      <c r="EB818" s="26"/>
      <c r="EC818" s="26"/>
      <c r="ED818" s="26"/>
      <c r="EE818" s="26"/>
    </row>
    <row r="819" spans="1:135" ht="18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  <c r="DB819" s="26"/>
      <c r="DC819" s="26"/>
      <c r="DD819" s="26"/>
      <c r="DE819" s="26"/>
      <c r="DF819" s="26"/>
      <c r="DG819" s="26"/>
      <c r="DH819" s="26"/>
      <c r="DI819" s="26"/>
      <c r="DJ819" s="26"/>
      <c r="DK819" s="26"/>
      <c r="DL819" s="26"/>
      <c r="DM819" s="26"/>
      <c r="DN819" s="26"/>
      <c r="DO819" s="26"/>
      <c r="DP819" s="26"/>
      <c r="DQ819" s="26"/>
      <c r="DR819" s="26"/>
      <c r="DS819" s="26"/>
      <c r="DT819" s="26"/>
      <c r="DU819" s="26"/>
      <c r="DV819" s="26"/>
      <c r="DW819" s="26"/>
      <c r="DX819" s="26"/>
      <c r="DY819" s="26"/>
      <c r="DZ819" s="26"/>
      <c r="EA819" s="26"/>
      <c r="EB819" s="26"/>
      <c r="EC819" s="26"/>
      <c r="ED819" s="26"/>
      <c r="EE819" s="26"/>
    </row>
    <row r="820" spans="1:135" ht="18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  <c r="DC820" s="26"/>
      <c r="DD820" s="26"/>
      <c r="DE820" s="26"/>
      <c r="DF820" s="26"/>
      <c r="DG820" s="26"/>
      <c r="DH820" s="26"/>
      <c r="DI820" s="26"/>
      <c r="DJ820" s="26"/>
      <c r="DK820" s="26"/>
      <c r="DL820" s="26"/>
      <c r="DM820" s="26"/>
      <c r="DN820" s="26"/>
      <c r="DO820" s="26"/>
      <c r="DP820" s="26"/>
      <c r="DQ820" s="26"/>
      <c r="DR820" s="26"/>
      <c r="DS820" s="26"/>
      <c r="DT820" s="26"/>
      <c r="DU820" s="26"/>
      <c r="DV820" s="26"/>
      <c r="DW820" s="26"/>
      <c r="DX820" s="26"/>
      <c r="DY820" s="26"/>
      <c r="DZ820" s="26"/>
      <c r="EA820" s="26"/>
      <c r="EB820" s="26"/>
      <c r="EC820" s="26"/>
      <c r="ED820" s="26"/>
      <c r="EE820" s="26"/>
    </row>
    <row r="821" spans="1:135" ht="18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  <c r="DC821" s="26"/>
      <c r="DD821" s="26"/>
      <c r="DE821" s="26"/>
      <c r="DF821" s="26"/>
      <c r="DG821" s="26"/>
      <c r="DH821" s="26"/>
      <c r="DI821" s="26"/>
      <c r="DJ821" s="26"/>
      <c r="DK821" s="26"/>
      <c r="DL821" s="26"/>
      <c r="DM821" s="26"/>
      <c r="DN821" s="26"/>
      <c r="DO821" s="26"/>
      <c r="DP821" s="26"/>
      <c r="DQ821" s="26"/>
      <c r="DR821" s="26"/>
      <c r="DS821" s="26"/>
      <c r="DT821" s="26"/>
      <c r="DU821" s="26"/>
      <c r="DV821" s="26"/>
      <c r="DW821" s="26"/>
      <c r="DX821" s="26"/>
      <c r="DY821" s="26"/>
      <c r="DZ821" s="26"/>
      <c r="EA821" s="26"/>
      <c r="EB821" s="26"/>
      <c r="EC821" s="26"/>
      <c r="ED821" s="26"/>
      <c r="EE821" s="26"/>
    </row>
    <row r="822" spans="1:135" ht="18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  <c r="DB822" s="26"/>
      <c r="DC822" s="26"/>
      <c r="DD822" s="26"/>
      <c r="DE822" s="26"/>
      <c r="DF822" s="26"/>
      <c r="DG822" s="26"/>
      <c r="DH822" s="26"/>
      <c r="DI822" s="26"/>
      <c r="DJ822" s="26"/>
      <c r="DK822" s="26"/>
      <c r="DL822" s="26"/>
      <c r="DM822" s="26"/>
      <c r="DN822" s="26"/>
      <c r="DO822" s="26"/>
      <c r="DP822" s="26"/>
      <c r="DQ822" s="26"/>
      <c r="DR822" s="26"/>
      <c r="DS822" s="26"/>
      <c r="DT822" s="26"/>
      <c r="DU822" s="26"/>
      <c r="DV822" s="26"/>
      <c r="DW822" s="26"/>
      <c r="DX822" s="26"/>
      <c r="DY822" s="26"/>
      <c r="DZ822" s="26"/>
      <c r="EA822" s="26"/>
      <c r="EB822" s="26"/>
      <c r="EC822" s="26"/>
      <c r="ED822" s="26"/>
      <c r="EE822" s="26"/>
    </row>
    <row r="823" spans="1:135" ht="18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  <c r="DC823" s="26"/>
      <c r="DD823" s="26"/>
      <c r="DE823" s="26"/>
      <c r="DF823" s="26"/>
      <c r="DG823" s="26"/>
      <c r="DH823" s="26"/>
      <c r="DI823" s="26"/>
      <c r="DJ823" s="26"/>
      <c r="DK823" s="26"/>
      <c r="DL823" s="26"/>
      <c r="DM823" s="26"/>
      <c r="DN823" s="26"/>
      <c r="DO823" s="26"/>
      <c r="DP823" s="26"/>
      <c r="DQ823" s="26"/>
      <c r="DR823" s="26"/>
      <c r="DS823" s="26"/>
      <c r="DT823" s="26"/>
      <c r="DU823" s="26"/>
      <c r="DV823" s="26"/>
      <c r="DW823" s="26"/>
      <c r="DX823" s="26"/>
      <c r="DY823" s="26"/>
      <c r="DZ823" s="26"/>
      <c r="EA823" s="26"/>
      <c r="EB823" s="26"/>
      <c r="EC823" s="26"/>
      <c r="ED823" s="26"/>
      <c r="EE823" s="26"/>
    </row>
    <row r="824" spans="1:135" ht="18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  <c r="DC824" s="26"/>
      <c r="DD824" s="26"/>
      <c r="DE824" s="26"/>
      <c r="DF824" s="26"/>
      <c r="DG824" s="26"/>
      <c r="DH824" s="26"/>
      <c r="DI824" s="26"/>
      <c r="DJ824" s="26"/>
      <c r="DK824" s="26"/>
      <c r="DL824" s="26"/>
      <c r="DM824" s="26"/>
      <c r="DN824" s="26"/>
      <c r="DO824" s="26"/>
      <c r="DP824" s="26"/>
      <c r="DQ824" s="26"/>
      <c r="DR824" s="26"/>
      <c r="DS824" s="26"/>
      <c r="DT824" s="26"/>
      <c r="DU824" s="26"/>
      <c r="DV824" s="26"/>
      <c r="DW824" s="26"/>
      <c r="DX824" s="26"/>
      <c r="DY824" s="26"/>
      <c r="DZ824" s="26"/>
      <c r="EA824" s="26"/>
      <c r="EB824" s="26"/>
      <c r="EC824" s="26"/>
      <c r="ED824" s="26"/>
      <c r="EE824" s="26"/>
    </row>
    <row r="825" spans="1:135" ht="18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/>
      <c r="DD825" s="26"/>
      <c r="DE825" s="26"/>
      <c r="DF825" s="26"/>
      <c r="DG825" s="26"/>
      <c r="DH825" s="26"/>
      <c r="DI825" s="26"/>
      <c r="DJ825" s="26"/>
      <c r="DK825" s="26"/>
      <c r="DL825" s="26"/>
      <c r="DM825" s="26"/>
      <c r="DN825" s="26"/>
      <c r="DO825" s="26"/>
      <c r="DP825" s="26"/>
      <c r="DQ825" s="26"/>
      <c r="DR825" s="26"/>
      <c r="DS825" s="26"/>
      <c r="DT825" s="26"/>
      <c r="DU825" s="26"/>
      <c r="DV825" s="26"/>
      <c r="DW825" s="26"/>
      <c r="DX825" s="26"/>
      <c r="DY825" s="26"/>
      <c r="DZ825" s="26"/>
      <c r="EA825" s="26"/>
      <c r="EB825" s="26"/>
      <c r="EC825" s="26"/>
      <c r="ED825" s="26"/>
      <c r="EE825" s="26"/>
    </row>
    <row r="826" spans="1:135" ht="18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6"/>
      <c r="DC826" s="26"/>
      <c r="DD826" s="26"/>
      <c r="DE826" s="26"/>
      <c r="DF826" s="26"/>
      <c r="DG826" s="26"/>
      <c r="DH826" s="26"/>
      <c r="DI826" s="26"/>
      <c r="DJ826" s="26"/>
      <c r="DK826" s="26"/>
      <c r="DL826" s="26"/>
      <c r="DM826" s="26"/>
      <c r="DN826" s="26"/>
      <c r="DO826" s="26"/>
      <c r="DP826" s="26"/>
      <c r="DQ826" s="26"/>
      <c r="DR826" s="26"/>
      <c r="DS826" s="26"/>
      <c r="DT826" s="26"/>
      <c r="DU826" s="26"/>
      <c r="DV826" s="26"/>
      <c r="DW826" s="26"/>
      <c r="DX826" s="26"/>
      <c r="DY826" s="26"/>
      <c r="DZ826" s="26"/>
      <c r="EA826" s="26"/>
      <c r="EB826" s="26"/>
      <c r="EC826" s="26"/>
      <c r="ED826" s="26"/>
      <c r="EE826" s="26"/>
    </row>
    <row r="827" spans="1:135" ht="18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  <c r="DB827" s="26"/>
      <c r="DC827" s="26"/>
      <c r="DD827" s="26"/>
      <c r="DE827" s="26"/>
      <c r="DF827" s="26"/>
      <c r="DG827" s="26"/>
      <c r="DH827" s="26"/>
      <c r="DI827" s="26"/>
      <c r="DJ827" s="26"/>
      <c r="DK827" s="26"/>
      <c r="DL827" s="26"/>
      <c r="DM827" s="26"/>
      <c r="DN827" s="26"/>
      <c r="DO827" s="26"/>
      <c r="DP827" s="26"/>
      <c r="DQ827" s="26"/>
      <c r="DR827" s="26"/>
      <c r="DS827" s="26"/>
      <c r="DT827" s="26"/>
      <c r="DU827" s="26"/>
      <c r="DV827" s="26"/>
      <c r="DW827" s="26"/>
      <c r="DX827" s="26"/>
      <c r="DY827" s="26"/>
      <c r="DZ827" s="26"/>
      <c r="EA827" s="26"/>
      <c r="EB827" s="26"/>
      <c r="EC827" s="26"/>
      <c r="ED827" s="26"/>
      <c r="EE827" s="26"/>
    </row>
    <row r="828" spans="1:135" ht="18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  <c r="DC828" s="26"/>
      <c r="DD828" s="26"/>
      <c r="DE828" s="26"/>
      <c r="DF828" s="26"/>
      <c r="DG828" s="26"/>
      <c r="DH828" s="26"/>
      <c r="DI828" s="26"/>
      <c r="DJ828" s="26"/>
      <c r="DK828" s="26"/>
      <c r="DL828" s="26"/>
      <c r="DM828" s="26"/>
      <c r="DN828" s="26"/>
      <c r="DO828" s="26"/>
      <c r="DP828" s="26"/>
      <c r="DQ828" s="26"/>
      <c r="DR828" s="26"/>
      <c r="DS828" s="26"/>
      <c r="DT828" s="26"/>
      <c r="DU828" s="26"/>
      <c r="DV828" s="26"/>
      <c r="DW828" s="26"/>
      <c r="DX828" s="26"/>
      <c r="DY828" s="26"/>
      <c r="DZ828" s="26"/>
      <c r="EA828" s="26"/>
      <c r="EB828" s="26"/>
      <c r="EC828" s="26"/>
      <c r="ED828" s="26"/>
      <c r="EE828" s="26"/>
    </row>
    <row r="829" spans="1:135" ht="18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  <c r="DB829" s="26"/>
      <c r="DC829" s="26"/>
      <c r="DD829" s="26"/>
      <c r="DE829" s="26"/>
      <c r="DF829" s="26"/>
      <c r="DG829" s="26"/>
      <c r="DH829" s="26"/>
      <c r="DI829" s="26"/>
      <c r="DJ829" s="26"/>
      <c r="DK829" s="26"/>
      <c r="DL829" s="26"/>
      <c r="DM829" s="26"/>
      <c r="DN829" s="26"/>
      <c r="DO829" s="26"/>
      <c r="DP829" s="26"/>
      <c r="DQ829" s="26"/>
      <c r="DR829" s="26"/>
      <c r="DS829" s="26"/>
      <c r="DT829" s="26"/>
      <c r="DU829" s="26"/>
      <c r="DV829" s="26"/>
      <c r="DW829" s="26"/>
      <c r="DX829" s="26"/>
      <c r="DY829" s="26"/>
      <c r="DZ829" s="26"/>
      <c r="EA829" s="26"/>
      <c r="EB829" s="26"/>
      <c r="EC829" s="26"/>
      <c r="ED829" s="26"/>
      <c r="EE829" s="26"/>
    </row>
    <row r="830" spans="1:135" ht="18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  <c r="DB830" s="26"/>
      <c r="DC830" s="26"/>
      <c r="DD830" s="26"/>
      <c r="DE830" s="26"/>
      <c r="DF830" s="26"/>
      <c r="DG830" s="26"/>
      <c r="DH830" s="26"/>
      <c r="DI830" s="26"/>
      <c r="DJ830" s="26"/>
      <c r="DK830" s="26"/>
      <c r="DL830" s="26"/>
      <c r="DM830" s="26"/>
      <c r="DN830" s="26"/>
      <c r="DO830" s="26"/>
      <c r="DP830" s="26"/>
      <c r="DQ830" s="26"/>
      <c r="DR830" s="26"/>
      <c r="DS830" s="26"/>
      <c r="DT830" s="26"/>
      <c r="DU830" s="26"/>
      <c r="DV830" s="26"/>
      <c r="DW830" s="26"/>
      <c r="DX830" s="26"/>
      <c r="DY830" s="26"/>
      <c r="DZ830" s="26"/>
      <c r="EA830" s="26"/>
      <c r="EB830" s="26"/>
      <c r="EC830" s="26"/>
      <c r="ED830" s="26"/>
      <c r="EE830" s="26"/>
    </row>
    <row r="831" spans="1:135" ht="18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  <c r="DB831" s="26"/>
      <c r="DC831" s="26"/>
      <c r="DD831" s="26"/>
      <c r="DE831" s="26"/>
      <c r="DF831" s="26"/>
      <c r="DG831" s="26"/>
      <c r="DH831" s="26"/>
      <c r="DI831" s="26"/>
      <c r="DJ831" s="26"/>
      <c r="DK831" s="26"/>
      <c r="DL831" s="26"/>
      <c r="DM831" s="26"/>
      <c r="DN831" s="26"/>
      <c r="DO831" s="26"/>
      <c r="DP831" s="26"/>
      <c r="DQ831" s="26"/>
      <c r="DR831" s="26"/>
      <c r="DS831" s="26"/>
      <c r="DT831" s="26"/>
      <c r="DU831" s="26"/>
      <c r="DV831" s="26"/>
      <c r="DW831" s="26"/>
      <c r="DX831" s="26"/>
      <c r="DY831" s="26"/>
      <c r="DZ831" s="26"/>
      <c r="EA831" s="26"/>
      <c r="EB831" s="26"/>
      <c r="EC831" s="26"/>
      <c r="ED831" s="26"/>
      <c r="EE831" s="26"/>
    </row>
    <row r="832" spans="1:135" ht="18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  <c r="DC832" s="26"/>
      <c r="DD832" s="26"/>
      <c r="DE832" s="26"/>
      <c r="DF832" s="26"/>
      <c r="DG832" s="26"/>
      <c r="DH832" s="26"/>
      <c r="DI832" s="26"/>
      <c r="DJ832" s="26"/>
      <c r="DK832" s="26"/>
      <c r="DL832" s="26"/>
      <c r="DM832" s="26"/>
      <c r="DN832" s="26"/>
      <c r="DO832" s="26"/>
      <c r="DP832" s="26"/>
      <c r="DQ832" s="26"/>
      <c r="DR832" s="26"/>
      <c r="DS832" s="26"/>
      <c r="DT832" s="26"/>
      <c r="DU832" s="26"/>
      <c r="DV832" s="26"/>
      <c r="DW832" s="26"/>
      <c r="DX832" s="26"/>
      <c r="DY832" s="26"/>
      <c r="DZ832" s="26"/>
      <c r="EA832" s="26"/>
      <c r="EB832" s="26"/>
      <c r="EC832" s="26"/>
      <c r="ED832" s="26"/>
      <c r="EE832" s="26"/>
    </row>
    <row r="833" spans="1:135" ht="18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  <c r="DB833" s="26"/>
      <c r="DC833" s="26"/>
      <c r="DD833" s="26"/>
      <c r="DE833" s="26"/>
      <c r="DF833" s="26"/>
      <c r="DG833" s="26"/>
      <c r="DH833" s="26"/>
      <c r="DI833" s="26"/>
      <c r="DJ833" s="26"/>
      <c r="DK833" s="26"/>
      <c r="DL833" s="26"/>
      <c r="DM833" s="26"/>
      <c r="DN833" s="26"/>
      <c r="DO833" s="26"/>
      <c r="DP833" s="26"/>
      <c r="DQ833" s="26"/>
      <c r="DR833" s="26"/>
      <c r="DS833" s="26"/>
      <c r="DT833" s="26"/>
      <c r="DU833" s="26"/>
      <c r="DV833" s="26"/>
      <c r="DW833" s="26"/>
      <c r="DX833" s="26"/>
      <c r="DY833" s="26"/>
      <c r="DZ833" s="26"/>
      <c r="EA833" s="26"/>
      <c r="EB833" s="26"/>
      <c r="EC833" s="26"/>
      <c r="ED833" s="26"/>
      <c r="EE833" s="26"/>
    </row>
    <row r="834" spans="1:135" ht="18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  <c r="DB834" s="26"/>
      <c r="DC834" s="26"/>
      <c r="DD834" s="26"/>
      <c r="DE834" s="26"/>
      <c r="DF834" s="26"/>
      <c r="DG834" s="26"/>
      <c r="DH834" s="26"/>
      <c r="DI834" s="26"/>
      <c r="DJ834" s="26"/>
      <c r="DK834" s="26"/>
      <c r="DL834" s="26"/>
      <c r="DM834" s="26"/>
      <c r="DN834" s="26"/>
      <c r="DO834" s="26"/>
      <c r="DP834" s="26"/>
      <c r="DQ834" s="26"/>
      <c r="DR834" s="26"/>
      <c r="DS834" s="26"/>
      <c r="DT834" s="26"/>
      <c r="DU834" s="26"/>
      <c r="DV834" s="26"/>
      <c r="DW834" s="26"/>
      <c r="DX834" s="26"/>
      <c r="DY834" s="26"/>
      <c r="DZ834" s="26"/>
      <c r="EA834" s="26"/>
      <c r="EB834" s="26"/>
      <c r="EC834" s="26"/>
      <c r="ED834" s="26"/>
      <c r="EE834" s="26"/>
    </row>
    <row r="835" spans="1:135" ht="18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  <c r="DC835" s="26"/>
      <c r="DD835" s="26"/>
      <c r="DE835" s="26"/>
      <c r="DF835" s="26"/>
      <c r="DG835" s="26"/>
      <c r="DH835" s="26"/>
      <c r="DI835" s="26"/>
      <c r="DJ835" s="26"/>
      <c r="DK835" s="26"/>
      <c r="DL835" s="26"/>
      <c r="DM835" s="26"/>
      <c r="DN835" s="26"/>
      <c r="DO835" s="26"/>
      <c r="DP835" s="26"/>
      <c r="DQ835" s="26"/>
      <c r="DR835" s="26"/>
      <c r="DS835" s="26"/>
      <c r="DT835" s="26"/>
      <c r="DU835" s="26"/>
      <c r="DV835" s="26"/>
      <c r="DW835" s="26"/>
      <c r="DX835" s="26"/>
      <c r="DY835" s="26"/>
      <c r="DZ835" s="26"/>
      <c r="EA835" s="26"/>
      <c r="EB835" s="26"/>
      <c r="EC835" s="26"/>
      <c r="ED835" s="26"/>
      <c r="EE835" s="26"/>
    </row>
    <row r="836" spans="1:135" ht="18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  <c r="DB836" s="26"/>
      <c r="DC836" s="26"/>
      <c r="DD836" s="26"/>
      <c r="DE836" s="26"/>
      <c r="DF836" s="26"/>
      <c r="DG836" s="26"/>
      <c r="DH836" s="26"/>
      <c r="DI836" s="26"/>
      <c r="DJ836" s="26"/>
      <c r="DK836" s="26"/>
      <c r="DL836" s="26"/>
      <c r="DM836" s="26"/>
      <c r="DN836" s="26"/>
      <c r="DO836" s="26"/>
      <c r="DP836" s="26"/>
      <c r="DQ836" s="26"/>
      <c r="DR836" s="26"/>
      <c r="DS836" s="26"/>
      <c r="DT836" s="26"/>
      <c r="DU836" s="26"/>
      <c r="DV836" s="26"/>
      <c r="DW836" s="26"/>
      <c r="DX836" s="26"/>
      <c r="DY836" s="26"/>
      <c r="DZ836" s="26"/>
      <c r="EA836" s="26"/>
      <c r="EB836" s="26"/>
      <c r="EC836" s="26"/>
      <c r="ED836" s="26"/>
      <c r="EE836" s="26"/>
    </row>
    <row r="837" spans="1:135" ht="18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6"/>
      <c r="DC837" s="26"/>
      <c r="DD837" s="26"/>
      <c r="DE837" s="26"/>
      <c r="DF837" s="26"/>
      <c r="DG837" s="26"/>
      <c r="DH837" s="26"/>
      <c r="DI837" s="26"/>
      <c r="DJ837" s="26"/>
      <c r="DK837" s="26"/>
      <c r="DL837" s="26"/>
      <c r="DM837" s="26"/>
      <c r="DN837" s="26"/>
      <c r="DO837" s="26"/>
      <c r="DP837" s="26"/>
      <c r="DQ837" s="26"/>
      <c r="DR837" s="26"/>
      <c r="DS837" s="26"/>
      <c r="DT837" s="26"/>
      <c r="DU837" s="26"/>
      <c r="DV837" s="26"/>
      <c r="DW837" s="26"/>
      <c r="DX837" s="26"/>
      <c r="DY837" s="26"/>
      <c r="DZ837" s="26"/>
      <c r="EA837" s="26"/>
      <c r="EB837" s="26"/>
      <c r="EC837" s="26"/>
      <c r="ED837" s="26"/>
      <c r="EE837" s="26"/>
    </row>
    <row r="838" spans="1:135" ht="18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  <c r="DB838" s="26"/>
      <c r="DC838" s="26"/>
      <c r="DD838" s="26"/>
      <c r="DE838" s="26"/>
      <c r="DF838" s="26"/>
      <c r="DG838" s="26"/>
      <c r="DH838" s="26"/>
      <c r="DI838" s="26"/>
      <c r="DJ838" s="26"/>
      <c r="DK838" s="26"/>
      <c r="DL838" s="26"/>
      <c r="DM838" s="26"/>
      <c r="DN838" s="26"/>
      <c r="DO838" s="26"/>
      <c r="DP838" s="26"/>
      <c r="DQ838" s="26"/>
      <c r="DR838" s="26"/>
      <c r="DS838" s="26"/>
      <c r="DT838" s="26"/>
      <c r="DU838" s="26"/>
      <c r="DV838" s="26"/>
      <c r="DW838" s="26"/>
      <c r="DX838" s="26"/>
      <c r="DY838" s="26"/>
      <c r="DZ838" s="26"/>
      <c r="EA838" s="26"/>
      <c r="EB838" s="26"/>
      <c r="EC838" s="26"/>
      <c r="ED838" s="26"/>
      <c r="EE838" s="26"/>
    </row>
    <row r="839" spans="1:135" ht="18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  <c r="DB839" s="26"/>
      <c r="DC839" s="26"/>
      <c r="DD839" s="26"/>
      <c r="DE839" s="26"/>
      <c r="DF839" s="26"/>
      <c r="DG839" s="26"/>
      <c r="DH839" s="26"/>
      <c r="DI839" s="26"/>
      <c r="DJ839" s="26"/>
      <c r="DK839" s="26"/>
      <c r="DL839" s="26"/>
      <c r="DM839" s="26"/>
      <c r="DN839" s="26"/>
      <c r="DO839" s="26"/>
      <c r="DP839" s="26"/>
      <c r="DQ839" s="26"/>
      <c r="DR839" s="26"/>
      <c r="DS839" s="26"/>
      <c r="DT839" s="26"/>
      <c r="DU839" s="26"/>
      <c r="DV839" s="26"/>
      <c r="DW839" s="26"/>
      <c r="DX839" s="26"/>
      <c r="DY839" s="26"/>
      <c r="DZ839" s="26"/>
      <c r="EA839" s="26"/>
      <c r="EB839" s="26"/>
      <c r="EC839" s="26"/>
      <c r="ED839" s="26"/>
      <c r="EE839" s="26"/>
    </row>
    <row r="840" spans="1:135" ht="18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  <c r="DC840" s="26"/>
      <c r="DD840" s="26"/>
      <c r="DE840" s="26"/>
      <c r="DF840" s="26"/>
      <c r="DG840" s="26"/>
      <c r="DH840" s="26"/>
      <c r="DI840" s="26"/>
      <c r="DJ840" s="26"/>
      <c r="DK840" s="26"/>
      <c r="DL840" s="26"/>
      <c r="DM840" s="26"/>
      <c r="DN840" s="26"/>
      <c r="DO840" s="26"/>
      <c r="DP840" s="26"/>
      <c r="DQ840" s="26"/>
      <c r="DR840" s="26"/>
      <c r="DS840" s="26"/>
      <c r="DT840" s="26"/>
      <c r="DU840" s="26"/>
      <c r="DV840" s="26"/>
      <c r="DW840" s="26"/>
      <c r="DX840" s="26"/>
      <c r="DY840" s="26"/>
      <c r="DZ840" s="26"/>
      <c r="EA840" s="26"/>
      <c r="EB840" s="26"/>
      <c r="EC840" s="26"/>
      <c r="ED840" s="26"/>
      <c r="EE840" s="26"/>
    </row>
    <row r="841" spans="1:135" ht="18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  <c r="DC841" s="26"/>
      <c r="DD841" s="26"/>
      <c r="DE841" s="26"/>
      <c r="DF841" s="26"/>
      <c r="DG841" s="26"/>
      <c r="DH841" s="26"/>
      <c r="DI841" s="26"/>
      <c r="DJ841" s="26"/>
      <c r="DK841" s="26"/>
      <c r="DL841" s="26"/>
      <c r="DM841" s="26"/>
      <c r="DN841" s="26"/>
      <c r="DO841" s="26"/>
      <c r="DP841" s="26"/>
      <c r="DQ841" s="26"/>
      <c r="DR841" s="26"/>
      <c r="DS841" s="26"/>
      <c r="DT841" s="26"/>
      <c r="DU841" s="26"/>
      <c r="DV841" s="26"/>
      <c r="DW841" s="26"/>
      <c r="DX841" s="26"/>
      <c r="DY841" s="26"/>
      <c r="DZ841" s="26"/>
      <c r="EA841" s="26"/>
      <c r="EB841" s="26"/>
      <c r="EC841" s="26"/>
      <c r="ED841" s="26"/>
      <c r="EE841" s="26"/>
    </row>
    <row r="842" spans="1:135" ht="18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  <c r="DC842" s="26"/>
      <c r="DD842" s="26"/>
      <c r="DE842" s="26"/>
      <c r="DF842" s="26"/>
      <c r="DG842" s="26"/>
      <c r="DH842" s="26"/>
      <c r="DI842" s="26"/>
      <c r="DJ842" s="26"/>
      <c r="DK842" s="26"/>
      <c r="DL842" s="26"/>
      <c r="DM842" s="26"/>
      <c r="DN842" s="26"/>
      <c r="DO842" s="26"/>
      <c r="DP842" s="26"/>
      <c r="DQ842" s="26"/>
      <c r="DR842" s="26"/>
      <c r="DS842" s="26"/>
      <c r="DT842" s="26"/>
      <c r="DU842" s="26"/>
      <c r="DV842" s="26"/>
      <c r="DW842" s="26"/>
      <c r="DX842" s="26"/>
      <c r="DY842" s="26"/>
      <c r="DZ842" s="26"/>
      <c r="EA842" s="26"/>
      <c r="EB842" s="26"/>
      <c r="EC842" s="26"/>
      <c r="ED842" s="26"/>
      <c r="EE842" s="26"/>
    </row>
    <row r="843" spans="1:135" ht="18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6"/>
      <c r="DC843" s="26"/>
      <c r="DD843" s="26"/>
      <c r="DE843" s="26"/>
      <c r="DF843" s="26"/>
      <c r="DG843" s="26"/>
      <c r="DH843" s="26"/>
      <c r="DI843" s="26"/>
      <c r="DJ843" s="26"/>
      <c r="DK843" s="26"/>
      <c r="DL843" s="26"/>
      <c r="DM843" s="26"/>
      <c r="DN843" s="26"/>
      <c r="DO843" s="26"/>
      <c r="DP843" s="26"/>
      <c r="DQ843" s="26"/>
      <c r="DR843" s="26"/>
      <c r="DS843" s="26"/>
      <c r="DT843" s="26"/>
      <c r="DU843" s="26"/>
      <c r="DV843" s="26"/>
      <c r="DW843" s="26"/>
      <c r="DX843" s="26"/>
      <c r="DY843" s="26"/>
      <c r="DZ843" s="26"/>
      <c r="EA843" s="26"/>
      <c r="EB843" s="26"/>
      <c r="EC843" s="26"/>
      <c r="ED843" s="26"/>
      <c r="EE843" s="26"/>
    </row>
    <row r="844" spans="1:135" ht="18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  <c r="DB844" s="26"/>
      <c r="DC844" s="26"/>
      <c r="DD844" s="26"/>
      <c r="DE844" s="26"/>
      <c r="DF844" s="26"/>
      <c r="DG844" s="26"/>
      <c r="DH844" s="26"/>
      <c r="DI844" s="26"/>
      <c r="DJ844" s="26"/>
      <c r="DK844" s="26"/>
      <c r="DL844" s="26"/>
      <c r="DM844" s="26"/>
      <c r="DN844" s="26"/>
      <c r="DO844" s="26"/>
      <c r="DP844" s="26"/>
      <c r="DQ844" s="26"/>
      <c r="DR844" s="26"/>
      <c r="DS844" s="26"/>
      <c r="DT844" s="26"/>
      <c r="DU844" s="26"/>
      <c r="DV844" s="26"/>
      <c r="DW844" s="26"/>
      <c r="DX844" s="26"/>
      <c r="DY844" s="26"/>
      <c r="DZ844" s="26"/>
      <c r="EA844" s="26"/>
      <c r="EB844" s="26"/>
      <c r="EC844" s="26"/>
      <c r="ED844" s="26"/>
      <c r="EE844" s="26"/>
    </row>
    <row r="845" spans="1:135" ht="18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  <c r="DB845" s="26"/>
      <c r="DC845" s="26"/>
      <c r="DD845" s="26"/>
      <c r="DE845" s="26"/>
      <c r="DF845" s="26"/>
      <c r="DG845" s="26"/>
      <c r="DH845" s="26"/>
      <c r="DI845" s="26"/>
      <c r="DJ845" s="26"/>
      <c r="DK845" s="26"/>
      <c r="DL845" s="26"/>
      <c r="DM845" s="26"/>
      <c r="DN845" s="26"/>
      <c r="DO845" s="26"/>
      <c r="DP845" s="26"/>
      <c r="DQ845" s="26"/>
      <c r="DR845" s="26"/>
      <c r="DS845" s="26"/>
      <c r="DT845" s="26"/>
      <c r="DU845" s="26"/>
      <c r="DV845" s="26"/>
      <c r="DW845" s="26"/>
      <c r="DX845" s="26"/>
      <c r="DY845" s="26"/>
      <c r="DZ845" s="26"/>
      <c r="EA845" s="26"/>
      <c r="EB845" s="26"/>
      <c r="EC845" s="26"/>
      <c r="ED845" s="26"/>
      <c r="EE845" s="26"/>
    </row>
    <row r="846" spans="1:135" ht="18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  <c r="DB846" s="26"/>
      <c r="DC846" s="26"/>
      <c r="DD846" s="26"/>
      <c r="DE846" s="26"/>
      <c r="DF846" s="26"/>
      <c r="DG846" s="26"/>
      <c r="DH846" s="26"/>
      <c r="DI846" s="26"/>
      <c r="DJ846" s="26"/>
      <c r="DK846" s="26"/>
      <c r="DL846" s="26"/>
      <c r="DM846" s="26"/>
      <c r="DN846" s="26"/>
      <c r="DO846" s="26"/>
      <c r="DP846" s="26"/>
      <c r="DQ846" s="26"/>
      <c r="DR846" s="26"/>
      <c r="DS846" s="26"/>
      <c r="DT846" s="26"/>
      <c r="DU846" s="26"/>
      <c r="DV846" s="26"/>
      <c r="DW846" s="26"/>
      <c r="DX846" s="26"/>
      <c r="DY846" s="26"/>
      <c r="DZ846" s="26"/>
      <c r="EA846" s="26"/>
      <c r="EB846" s="26"/>
      <c r="EC846" s="26"/>
      <c r="ED846" s="26"/>
      <c r="EE846" s="26"/>
    </row>
    <row r="847" spans="1:135" ht="18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  <c r="DB847" s="26"/>
      <c r="DC847" s="26"/>
      <c r="DD847" s="26"/>
      <c r="DE847" s="26"/>
      <c r="DF847" s="26"/>
      <c r="DG847" s="26"/>
      <c r="DH847" s="26"/>
      <c r="DI847" s="26"/>
      <c r="DJ847" s="26"/>
      <c r="DK847" s="26"/>
      <c r="DL847" s="26"/>
      <c r="DM847" s="26"/>
      <c r="DN847" s="26"/>
      <c r="DO847" s="26"/>
      <c r="DP847" s="26"/>
      <c r="DQ847" s="26"/>
      <c r="DR847" s="26"/>
      <c r="DS847" s="26"/>
      <c r="DT847" s="26"/>
      <c r="DU847" s="26"/>
      <c r="DV847" s="26"/>
      <c r="DW847" s="26"/>
      <c r="DX847" s="26"/>
      <c r="DY847" s="26"/>
      <c r="DZ847" s="26"/>
      <c r="EA847" s="26"/>
      <c r="EB847" s="26"/>
      <c r="EC847" s="26"/>
      <c r="ED847" s="26"/>
      <c r="EE847" s="26"/>
    </row>
    <row r="848" spans="1:135" ht="18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  <c r="DB848" s="26"/>
      <c r="DC848" s="26"/>
      <c r="DD848" s="26"/>
      <c r="DE848" s="26"/>
      <c r="DF848" s="26"/>
      <c r="DG848" s="26"/>
      <c r="DH848" s="26"/>
      <c r="DI848" s="26"/>
      <c r="DJ848" s="26"/>
      <c r="DK848" s="26"/>
      <c r="DL848" s="26"/>
      <c r="DM848" s="26"/>
      <c r="DN848" s="26"/>
      <c r="DO848" s="26"/>
      <c r="DP848" s="26"/>
      <c r="DQ848" s="26"/>
      <c r="DR848" s="26"/>
      <c r="DS848" s="26"/>
      <c r="DT848" s="26"/>
      <c r="DU848" s="26"/>
      <c r="DV848" s="26"/>
      <c r="DW848" s="26"/>
      <c r="DX848" s="26"/>
      <c r="DY848" s="26"/>
      <c r="DZ848" s="26"/>
      <c r="EA848" s="26"/>
      <c r="EB848" s="26"/>
      <c r="EC848" s="26"/>
      <c r="ED848" s="26"/>
      <c r="EE848" s="26"/>
    </row>
    <row r="849" spans="1:135" ht="18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  <c r="DC849" s="26"/>
      <c r="DD849" s="26"/>
      <c r="DE849" s="26"/>
      <c r="DF849" s="26"/>
      <c r="DG849" s="26"/>
      <c r="DH849" s="26"/>
      <c r="DI849" s="26"/>
      <c r="DJ849" s="26"/>
      <c r="DK849" s="26"/>
      <c r="DL849" s="26"/>
      <c r="DM849" s="26"/>
      <c r="DN849" s="26"/>
      <c r="DO849" s="26"/>
      <c r="DP849" s="26"/>
      <c r="DQ849" s="26"/>
      <c r="DR849" s="26"/>
      <c r="DS849" s="26"/>
      <c r="DT849" s="26"/>
      <c r="DU849" s="26"/>
      <c r="DV849" s="26"/>
      <c r="DW849" s="26"/>
      <c r="DX849" s="26"/>
      <c r="DY849" s="26"/>
      <c r="DZ849" s="26"/>
      <c r="EA849" s="26"/>
      <c r="EB849" s="26"/>
      <c r="EC849" s="26"/>
      <c r="ED849" s="26"/>
      <c r="EE849" s="26"/>
    </row>
    <row r="850" spans="1:135" ht="18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  <c r="DB850" s="26"/>
      <c r="DC850" s="26"/>
      <c r="DD850" s="26"/>
      <c r="DE850" s="26"/>
      <c r="DF850" s="26"/>
      <c r="DG850" s="26"/>
      <c r="DH850" s="26"/>
      <c r="DI850" s="26"/>
      <c r="DJ850" s="26"/>
      <c r="DK850" s="26"/>
      <c r="DL850" s="26"/>
      <c r="DM850" s="26"/>
      <c r="DN850" s="26"/>
      <c r="DO850" s="26"/>
      <c r="DP850" s="26"/>
      <c r="DQ850" s="26"/>
      <c r="DR850" s="26"/>
      <c r="DS850" s="26"/>
      <c r="DT850" s="26"/>
      <c r="DU850" s="26"/>
      <c r="DV850" s="26"/>
      <c r="DW850" s="26"/>
      <c r="DX850" s="26"/>
      <c r="DY850" s="26"/>
      <c r="DZ850" s="26"/>
      <c r="EA850" s="26"/>
      <c r="EB850" s="26"/>
      <c r="EC850" s="26"/>
      <c r="ED850" s="26"/>
      <c r="EE850" s="26"/>
    </row>
    <row r="851" spans="1:135" ht="18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  <c r="DC851" s="26"/>
      <c r="DD851" s="26"/>
      <c r="DE851" s="26"/>
      <c r="DF851" s="26"/>
      <c r="DG851" s="26"/>
      <c r="DH851" s="26"/>
      <c r="DI851" s="26"/>
      <c r="DJ851" s="26"/>
      <c r="DK851" s="26"/>
      <c r="DL851" s="26"/>
      <c r="DM851" s="26"/>
      <c r="DN851" s="26"/>
      <c r="DO851" s="26"/>
      <c r="DP851" s="26"/>
      <c r="DQ851" s="26"/>
      <c r="DR851" s="26"/>
      <c r="DS851" s="26"/>
      <c r="DT851" s="26"/>
      <c r="DU851" s="26"/>
      <c r="DV851" s="26"/>
      <c r="DW851" s="26"/>
      <c r="DX851" s="26"/>
      <c r="DY851" s="26"/>
      <c r="DZ851" s="26"/>
      <c r="EA851" s="26"/>
      <c r="EB851" s="26"/>
      <c r="EC851" s="26"/>
      <c r="ED851" s="26"/>
      <c r="EE851" s="26"/>
    </row>
    <row r="852" spans="1:135" ht="18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  <c r="DB852" s="26"/>
      <c r="DC852" s="26"/>
      <c r="DD852" s="26"/>
      <c r="DE852" s="26"/>
      <c r="DF852" s="26"/>
      <c r="DG852" s="26"/>
      <c r="DH852" s="26"/>
      <c r="DI852" s="26"/>
      <c r="DJ852" s="26"/>
      <c r="DK852" s="26"/>
      <c r="DL852" s="26"/>
      <c r="DM852" s="26"/>
      <c r="DN852" s="26"/>
      <c r="DO852" s="26"/>
      <c r="DP852" s="26"/>
      <c r="DQ852" s="26"/>
      <c r="DR852" s="26"/>
      <c r="DS852" s="26"/>
      <c r="DT852" s="26"/>
      <c r="DU852" s="26"/>
      <c r="DV852" s="26"/>
      <c r="DW852" s="26"/>
      <c r="DX852" s="26"/>
      <c r="DY852" s="26"/>
      <c r="DZ852" s="26"/>
      <c r="EA852" s="26"/>
      <c r="EB852" s="26"/>
      <c r="EC852" s="26"/>
      <c r="ED852" s="26"/>
      <c r="EE852" s="26"/>
    </row>
    <row r="853" spans="1:135" ht="18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  <c r="DC853" s="26"/>
      <c r="DD853" s="26"/>
      <c r="DE853" s="26"/>
      <c r="DF853" s="26"/>
      <c r="DG853" s="26"/>
      <c r="DH853" s="26"/>
      <c r="DI853" s="26"/>
      <c r="DJ853" s="26"/>
      <c r="DK853" s="26"/>
      <c r="DL853" s="26"/>
      <c r="DM853" s="26"/>
      <c r="DN853" s="26"/>
      <c r="DO853" s="26"/>
      <c r="DP853" s="26"/>
      <c r="DQ853" s="26"/>
      <c r="DR853" s="26"/>
      <c r="DS853" s="26"/>
      <c r="DT853" s="26"/>
      <c r="DU853" s="26"/>
      <c r="DV853" s="26"/>
      <c r="DW853" s="26"/>
      <c r="DX853" s="26"/>
      <c r="DY853" s="26"/>
      <c r="DZ853" s="26"/>
      <c r="EA853" s="26"/>
      <c r="EB853" s="26"/>
      <c r="EC853" s="26"/>
      <c r="ED853" s="26"/>
      <c r="EE853" s="26"/>
    </row>
    <row r="854" spans="1:135" ht="18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  <c r="DB854" s="26"/>
      <c r="DC854" s="26"/>
      <c r="DD854" s="26"/>
      <c r="DE854" s="26"/>
      <c r="DF854" s="26"/>
      <c r="DG854" s="26"/>
      <c r="DH854" s="26"/>
      <c r="DI854" s="26"/>
      <c r="DJ854" s="26"/>
      <c r="DK854" s="26"/>
      <c r="DL854" s="26"/>
      <c r="DM854" s="26"/>
      <c r="DN854" s="26"/>
      <c r="DO854" s="26"/>
      <c r="DP854" s="26"/>
      <c r="DQ854" s="26"/>
      <c r="DR854" s="26"/>
      <c r="DS854" s="26"/>
      <c r="DT854" s="26"/>
      <c r="DU854" s="26"/>
      <c r="DV854" s="26"/>
      <c r="DW854" s="26"/>
      <c r="DX854" s="26"/>
      <c r="DY854" s="26"/>
      <c r="DZ854" s="26"/>
      <c r="EA854" s="26"/>
      <c r="EB854" s="26"/>
      <c r="EC854" s="26"/>
      <c r="ED854" s="26"/>
      <c r="EE854" s="26"/>
    </row>
    <row r="855" spans="1:135" ht="18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  <c r="DB855" s="26"/>
      <c r="DC855" s="26"/>
      <c r="DD855" s="26"/>
      <c r="DE855" s="26"/>
      <c r="DF855" s="26"/>
      <c r="DG855" s="26"/>
      <c r="DH855" s="26"/>
      <c r="DI855" s="26"/>
      <c r="DJ855" s="26"/>
      <c r="DK855" s="26"/>
      <c r="DL855" s="26"/>
      <c r="DM855" s="26"/>
      <c r="DN855" s="26"/>
      <c r="DO855" s="26"/>
      <c r="DP855" s="26"/>
      <c r="DQ855" s="26"/>
      <c r="DR855" s="26"/>
      <c r="DS855" s="26"/>
      <c r="DT855" s="26"/>
      <c r="DU855" s="26"/>
      <c r="DV855" s="26"/>
      <c r="DW855" s="26"/>
      <c r="DX855" s="26"/>
      <c r="DY855" s="26"/>
      <c r="DZ855" s="26"/>
      <c r="EA855" s="26"/>
      <c r="EB855" s="26"/>
      <c r="EC855" s="26"/>
      <c r="ED855" s="26"/>
      <c r="EE855" s="26"/>
    </row>
    <row r="856" spans="1:135" ht="18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  <c r="DC856" s="26"/>
      <c r="DD856" s="26"/>
      <c r="DE856" s="26"/>
      <c r="DF856" s="26"/>
      <c r="DG856" s="26"/>
      <c r="DH856" s="26"/>
      <c r="DI856" s="26"/>
      <c r="DJ856" s="26"/>
      <c r="DK856" s="26"/>
      <c r="DL856" s="26"/>
      <c r="DM856" s="26"/>
      <c r="DN856" s="26"/>
      <c r="DO856" s="26"/>
      <c r="DP856" s="26"/>
      <c r="DQ856" s="26"/>
      <c r="DR856" s="26"/>
      <c r="DS856" s="26"/>
      <c r="DT856" s="26"/>
      <c r="DU856" s="26"/>
      <c r="DV856" s="26"/>
      <c r="DW856" s="26"/>
      <c r="DX856" s="26"/>
      <c r="DY856" s="26"/>
      <c r="DZ856" s="26"/>
      <c r="EA856" s="26"/>
      <c r="EB856" s="26"/>
      <c r="EC856" s="26"/>
      <c r="ED856" s="26"/>
      <c r="EE856" s="26"/>
    </row>
    <row r="857" spans="1:135" ht="18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  <c r="DB857" s="26"/>
      <c r="DC857" s="26"/>
      <c r="DD857" s="26"/>
      <c r="DE857" s="26"/>
      <c r="DF857" s="26"/>
      <c r="DG857" s="26"/>
      <c r="DH857" s="26"/>
      <c r="DI857" s="26"/>
      <c r="DJ857" s="26"/>
      <c r="DK857" s="26"/>
      <c r="DL857" s="26"/>
      <c r="DM857" s="26"/>
      <c r="DN857" s="26"/>
      <c r="DO857" s="26"/>
      <c r="DP857" s="26"/>
      <c r="DQ857" s="26"/>
      <c r="DR857" s="26"/>
      <c r="DS857" s="26"/>
      <c r="DT857" s="26"/>
      <c r="DU857" s="26"/>
      <c r="DV857" s="26"/>
      <c r="DW857" s="26"/>
      <c r="DX857" s="26"/>
      <c r="DY857" s="26"/>
      <c r="DZ857" s="26"/>
      <c r="EA857" s="26"/>
      <c r="EB857" s="26"/>
      <c r="EC857" s="26"/>
      <c r="ED857" s="26"/>
      <c r="EE857" s="26"/>
    </row>
    <row r="858" spans="1:135" ht="18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  <c r="DB858" s="26"/>
      <c r="DC858" s="26"/>
      <c r="DD858" s="26"/>
      <c r="DE858" s="26"/>
      <c r="DF858" s="26"/>
      <c r="DG858" s="26"/>
      <c r="DH858" s="26"/>
      <c r="DI858" s="26"/>
      <c r="DJ858" s="26"/>
      <c r="DK858" s="26"/>
      <c r="DL858" s="26"/>
      <c r="DM858" s="26"/>
      <c r="DN858" s="26"/>
      <c r="DO858" s="26"/>
      <c r="DP858" s="26"/>
      <c r="DQ858" s="26"/>
      <c r="DR858" s="26"/>
      <c r="DS858" s="26"/>
      <c r="DT858" s="26"/>
      <c r="DU858" s="26"/>
      <c r="DV858" s="26"/>
      <c r="DW858" s="26"/>
      <c r="DX858" s="26"/>
      <c r="DY858" s="26"/>
      <c r="DZ858" s="26"/>
      <c r="EA858" s="26"/>
      <c r="EB858" s="26"/>
      <c r="EC858" s="26"/>
      <c r="ED858" s="26"/>
      <c r="EE858" s="26"/>
    </row>
    <row r="859" spans="1:135" ht="18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  <c r="DC859" s="26"/>
      <c r="DD859" s="26"/>
      <c r="DE859" s="26"/>
      <c r="DF859" s="26"/>
      <c r="DG859" s="26"/>
      <c r="DH859" s="26"/>
      <c r="DI859" s="26"/>
      <c r="DJ859" s="26"/>
      <c r="DK859" s="26"/>
      <c r="DL859" s="26"/>
      <c r="DM859" s="26"/>
      <c r="DN859" s="26"/>
      <c r="DO859" s="26"/>
      <c r="DP859" s="26"/>
      <c r="DQ859" s="26"/>
      <c r="DR859" s="26"/>
      <c r="DS859" s="26"/>
      <c r="DT859" s="26"/>
      <c r="DU859" s="26"/>
      <c r="DV859" s="26"/>
      <c r="DW859" s="26"/>
      <c r="DX859" s="26"/>
      <c r="DY859" s="26"/>
      <c r="DZ859" s="26"/>
      <c r="EA859" s="26"/>
      <c r="EB859" s="26"/>
      <c r="EC859" s="26"/>
      <c r="ED859" s="26"/>
      <c r="EE859" s="26"/>
    </row>
    <row r="860" spans="1:135" ht="18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  <c r="DB860" s="26"/>
      <c r="DC860" s="26"/>
      <c r="DD860" s="26"/>
      <c r="DE860" s="26"/>
      <c r="DF860" s="26"/>
      <c r="DG860" s="26"/>
      <c r="DH860" s="26"/>
      <c r="DI860" s="26"/>
      <c r="DJ860" s="26"/>
      <c r="DK860" s="26"/>
      <c r="DL860" s="26"/>
      <c r="DM860" s="26"/>
      <c r="DN860" s="26"/>
      <c r="DO860" s="26"/>
      <c r="DP860" s="26"/>
      <c r="DQ860" s="26"/>
      <c r="DR860" s="26"/>
      <c r="DS860" s="26"/>
      <c r="DT860" s="26"/>
      <c r="DU860" s="26"/>
      <c r="DV860" s="26"/>
      <c r="DW860" s="26"/>
      <c r="DX860" s="26"/>
      <c r="DY860" s="26"/>
      <c r="DZ860" s="26"/>
      <c r="EA860" s="26"/>
      <c r="EB860" s="26"/>
      <c r="EC860" s="26"/>
      <c r="ED860" s="26"/>
      <c r="EE860" s="26"/>
    </row>
    <row r="861" spans="1:135" ht="18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  <c r="DC861" s="26"/>
      <c r="DD861" s="26"/>
      <c r="DE861" s="26"/>
      <c r="DF861" s="26"/>
      <c r="DG861" s="26"/>
      <c r="DH861" s="26"/>
      <c r="DI861" s="26"/>
      <c r="DJ861" s="26"/>
      <c r="DK861" s="26"/>
      <c r="DL861" s="26"/>
      <c r="DM861" s="26"/>
      <c r="DN861" s="26"/>
      <c r="DO861" s="26"/>
      <c r="DP861" s="26"/>
      <c r="DQ861" s="26"/>
      <c r="DR861" s="26"/>
      <c r="DS861" s="26"/>
      <c r="DT861" s="26"/>
      <c r="DU861" s="26"/>
      <c r="DV861" s="26"/>
      <c r="DW861" s="26"/>
      <c r="DX861" s="26"/>
      <c r="DY861" s="26"/>
      <c r="DZ861" s="26"/>
      <c r="EA861" s="26"/>
      <c r="EB861" s="26"/>
      <c r="EC861" s="26"/>
      <c r="ED861" s="26"/>
      <c r="EE861" s="26"/>
    </row>
    <row r="862" spans="1:135" ht="18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  <c r="DB862" s="26"/>
      <c r="DC862" s="26"/>
      <c r="DD862" s="26"/>
      <c r="DE862" s="26"/>
      <c r="DF862" s="26"/>
      <c r="DG862" s="26"/>
      <c r="DH862" s="26"/>
      <c r="DI862" s="26"/>
      <c r="DJ862" s="26"/>
      <c r="DK862" s="26"/>
      <c r="DL862" s="26"/>
      <c r="DM862" s="26"/>
      <c r="DN862" s="26"/>
      <c r="DO862" s="26"/>
      <c r="DP862" s="26"/>
      <c r="DQ862" s="26"/>
      <c r="DR862" s="26"/>
      <c r="DS862" s="26"/>
      <c r="DT862" s="26"/>
      <c r="DU862" s="26"/>
      <c r="DV862" s="26"/>
      <c r="DW862" s="26"/>
      <c r="DX862" s="26"/>
      <c r="DY862" s="26"/>
      <c r="DZ862" s="26"/>
      <c r="EA862" s="26"/>
      <c r="EB862" s="26"/>
      <c r="EC862" s="26"/>
      <c r="ED862" s="26"/>
      <c r="EE862" s="26"/>
    </row>
    <row r="863" spans="1:135" ht="18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  <c r="DC863" s="26"/>
      <c r="DD863" s="26"/>
      <c r="DE863" s="26"/>
      <c r="DF863" s="26"/>
      <c r="DG863" s="26"/>
      <c r="DH863" s="26"/>
      <c r="DI863" s="26"/>
      <c r="DJ863" s="26"/>
      <c r="DK863" s="26"/>
      <c r="DL863" s="26"/>
      <c r="DM863" s="26"/>
      <c r="DN863" s="26"/>
      <c r="DO863" s="26"/>
      <c r="DP863" s="26"/>
      <c r="DQ863" s="26"/>
      <c r="DR863" s="26"/>
      <c r="DS863" s="26"/>
      <c r="DT863" s="26"/>
      <c r="DU863" s="26"/>
      <c r="DV863" s="26"/>
      <c r="DW863" s="26"/>
      <c r="DX863" s="26"/>
      <c r="DY863" s="26"/>
      <c r="DZ863" s="26"/>
      <c r="EA863" s="26"/>
      <c r="EB863" s="26"/>
      <c r="EC863" s="26"/>
      <c r="ED863" s="26"/>
      <c r="EE863" s="26"/>
    </row>
    <row r="864" spans="1:135" ht="18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  <c r="DC864" s="26"/>
      <c r="DD864" s="26"/>
      <c r="DE864" s="26"/>
      <c r="DF864" s="26"/>
      <c r="DG864" s="26"/>
      <c r="DH864" s="26"/>
      <c r="DI864" s="26"/>
      <c r="DJ864" s="26"/>
      <c r="DK864" s="26"/>
      <c r="DL864" s="26"/>
      <c r="DM864" s="26"/>
      <c r="DN864" s="26"/>
      <c r="DO864" s="26"/>
      <c r="DP864" s="26"/>
      <c r="DQ864" s="26"/>
      <c r="DR864" s="26"/>
      <c r="DS864" s="26"/>
      <c r="DT864" s="26"/>
      <c r="DU864" s="26"/>
      <c r="DV864" s="26"/>
      <c r="DW864" s="26"/>
      <c r="DX864" s="26"/>
      <c r="DY864" s="26"/>
      <c r="DZ864" s="26"/>
      <c r="EA864" s="26"/>
      <c r="EB864" s="26"/>
      <c r="EC864" s="26"/>
      <c r="ED864" s="26"/>
      <c r="EE864" s="26"/>
    </row>
    <row r="865" spans="1:135" ht="18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  <c r="DC865" s="26"/>
      <c r="DD865" s="26"/>
      <c r="DE865" s="26"/>
      <c r="DF865" s="26"/>
      <c r="DG865" s="26"/>
      <c r="DH865" s="26"/>
      <c r="DI865" s="26"/>
      <c r="DJ865" s="26"/>
      <c r="DK865" s="26"/>
      <c r="DL865" s="26"/>
      <c r="DM865" s="26"/>
      <c r="DN865" s="26"/>
      <c r="DO865" s="26"/>
      <c r="DP865" s="26"/>
      <c r="DQ865" s="26"/>
      <c r="DR865" s="26"/>
      <c r="DS865" s="26"/>
      <c r="DT865" s="26"/>
      <c r="DU865" s="26"/>
      <c r="DV865" s="26"/>
      <c r="DW865" s="26"/>
      <c r="DX865" s="26"/>
      <c r="DY865" s="26"/>
      <c r="DZ865" s="26"/>
      <c r="EA865" s="26"/>
      <c r="EB865" s="26"/>
      <c r="EC865" s="26"/>
      <c r="ED865" s="26"/>
      <c r="EE865" s="26"/>
    </row>
    <row r="866" spans="1:135" ht="18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  <c r="DC866" s="26"/>
      <c r="DD866" s="26"/>
      <c r="DE866" s="26"/>
      <c r="DF866" s="26"/>
      <c r="DG866" s="26"/>
      <c r="DH866" s="26"/>
      <c r="DI866" s="26"/>
      <c r="DJ866" s="26"/>
      <c r="DK866" s="26"/>
      <c r="DL866" s="26"/>
      <c r="DM866" s="26"/>
      <c r="DN866" s="26"/>
      <c r="DO866" s="26"/>
      <c r="DP866" s="26"/>
      <c r="DQ866" s="26"/>
      <c r="DR866" s="26"/>
      <c r="DS866" s="26"/>
      <c r="DT866" s="26"/>
      <c r="DU866" s="26"/>
      <c r="DV866" s="26"/>
      <c r="DW866" s="26"/>
      <c r="DX866" s="26"/>
      <c r="DY866" s="26"/>
      <c r="DZ866" s="26"/>
      <c r="EA866" s="26"/>
      <c r="EB866" s="26"/>
      <c r="EC866" s="26"/>
      <c r="ED866" s="26"/>
      <c r="EE866" s="26"/>
    </row>
    <row r="867" spans="1:135" ht="18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  <c r="DC867" s="26"/>
      <c r="DD867" s="26"/>
      <c r="DE867" s="26"/>
      <c r="DF867" s="26"/>
      <c r="DG867" s="26"/>
      <c r="DH867" s="26"/>
      <c r="DI867" s="26"/>
      <c r="DJ867" s="26"/>
      <c r="DK867" s="26"/>
      <c r="DL867" s="26"/>
      <c r="DM867" s="26"/>
      <c r="DN867" s="26"/>
      <c r="DO867" s="26"/>
      <c r="DP867" s="26"/>
      <c r="DQ867" s="26"/>
      <c r="DR867" s="26"/>
      <c r="DS867" s="26"/>
      <c r="DT867" s="26"/>
      <c r="DU867" s="26"/>
      <c r="DV867" s="26"/>
      <c r="DW867" s="26"/>
      <c r="DX867" s="26"/>
      <c r="DY867" s="26"/>
      <c r="DZ867" s="26"/>
      <c r="EA867" s="26"/>
      <c r="EB867" s="26"/>
      <c r="EC867" s="26"/>
      <c r="ED867" s="26"/>
      <c r="EE867" s="26"/>
    </row>
    <row r="868" spans="1:135" ht="18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6"/>
      <c r="DC868" s="26"/>
      <c r="DD868" s="26"/>
      <c r="DE868" s="26"/>
      <c r="DF868" s="26"/>
      <c r="DG868" s="26"/>
      <c r="DH868" s="26"/>
      <c r="DI868" s="26"/>
      <c r="DJ868" s="26"/>
      <c r="DK868" s="26"/>
      <c r="DL868" s="26"/>
      <c r="DM868" s="26"/>
      <c r="DN868" s="26"/>
      <c r="DO868" s="26"/>
      <c r="DP868" s="26"/>
      <c r="DQ868" s="26"/>
      <c r="DR868" s="26"/>
      <c r="DS868" s="26"/>
      <c r="DT868" s="26"/>
      <c r="DU868" s="26"/>
      <c r="DV868" s="26"/>
      <c r="DW868" s="26"/>
      <c r="DX868" s="26"/>
      <c r="DY868" s="26"/>
      <c r="DZ868" s="26"/>
      <c r="EA868" s="26"/>
      <c r="EB868" s="26"/>
      <c r="EC868" s="26"/>
      <c r="ED868" s="26"/>
      <c r="EE868" s="26"/>
    </row>
    <row r="869" spans="1:135" ht="18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  <c r="DB869" s="26"/>
      <c r="DC869" s="26"/>
      <c r="DD869" s="26"/>
      <c r="DE869" s="26"/>
      <c r="DF869" s="26"/>
      <c r="DG869" s="26"/>
      <c r="DH869" s="26"/>
      <c r="DI869" s="26"/>
      <c r="DJ869" s="26"/>
      <c r="DK869" s="26"/>
      <c r="DL869" s="26"/>
      <c r="DM869" s="26"/>
      <c r="DN869" s="26"/>
      <c r="DO869" s="26"/>
      <c r="DP869" s="26"/>
      <c r="DQ869" s="26"/>
      <c r="DR869" s="26"/>
      <c r="DS869" s="26"/>
      <c r="DT869" s="26"/>
      <c r="DU869" s="26"/>
      <c r="DV869" s="26"/>
      <c r="DW869" s="26"/>
      <c r="DX869" s="26"/>
      <c r="DY869" s="26"/>
      <c r="DZ869" s="26"/>
      <c r="EA869" s="26"/>
      <c r="EB869" s="26"/>
      <c r="EC869" s="26"/>
      <c r="ED869" s="26"/>
      <c r="EE869" s="26"/>
    </row>
    <row r="870" spans="1:135" ht="18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/>
      <c r="DD870" s="26"/>
      <c r="DE870" s="26"/>
      <c r="DF870" s="26"/>
      <c r="DG870" s="26"/>
      <c r="DH870" s="26"/>
      <c r="DI870" s="26"/>
      <c r="DJ870" s="26"/>
      <c r="DK870" s="26"/>
      <c r="DL870" s="26"/>
      <c r="DM870" s="26"/>
      <c r="DN870" s="26"/>
      <c r="DO870" s="26"/>
      <c r="DP870" s="26"/>
      <c r="DQ870" s="26"/>
      <c r="DR870" s="26"/>
      <c r="DS870" s="26"/>
      <c r="DT870" s="26"/>
      <c r="DU870" s="26"/>
      <c r="DV870" s="26"/>
      <c r="DW870" s="26"/>
      <c r="DX870" s="26"/>
      <c r="DY870" s="26"/>
      <c r="DZ870" s="26"/>
      <c r="EA870" s="26"/>
      <c r="EB870" s="26"/>
      <c r="EC870" s="26"/>
      <c r="ED870" s="26"/>
      <c r="EE870" s="26"/>
    </row>
    <row r="871" spans="1:135" ht="18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  <c r="DC871" s="26"/>
      <c r="DD871" s="26"/>
      <c r="DE871" s="26"/>
      <c r="DF871" s="26"/>
      <c r="DG871" s="26"/>
      <c r="DH871" s="26"/>
      <c r="DI871" s="26"/>
      <c r="DJ871" s="26"/>
      <c r="DK871" s="26"/>
      <c r="DL871" s="26"/>
      <c r="DM871" s="26"/>
      <c r="DN871" s="26"/>
      <c r="DO871" s="26"/>
      <c r="DP871" s="26"/>
      <c r="DQ871" s="26"/>
      <c r="DR871" s="26"/>
      <c r="DS871" s="26"/>
      <c r="DT871" s="26"/>
      <c r="DU871" s="26"/>
      <c r="DV871" s="26"/>
      <c r="DW871" s="26"/>
      <c r="DX871" s="26"/>
      <c r="DY871" s="26"/>
      <c r="DZ871" s="26"/>
      <c r="EA871" s="26"/>
      <c r="EB871" s="26"/>
      <c r="EC871" s="26"/>
      <c r="ED871" s="26"/>
      <c r="EE871" s="26"/>
    </row>
    <row r="872" spans="1:135" ht="18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  <c r="DC872" s="26"/>
      <c r="DD872" s="26"/>
      <c r="DE872" s="26"/>
      <c r="DF872" s="26"/>
      <c r="DG872" s="26"/>
      <c r="DH872" s="26"/>
      <c r="DI872" s="26"/>
      <c r="DJ872" s="26"/>
      <c r="DK872" s="26"/>
      <c r="DL872" s="26"/>
      <c r="DM872" s="26"/>
      <c r="DN872" s="26"/>
      <c r="DO872" s="26"/>
      <c r="DP872" s="26"/>
      <c r="DQ872" s="26"/>
      <c r="DR872" s="26"/>
      <c r="DS872" s="26"/>
      <c r="DT872" s="26"/>
      <c r="DU872" s="26"/>
      <c r="DV872" s="26"/>
      <c r="DW872" s="26"/>
      <c r="DX872" s="26"/>
      <c r="DY872" s="26"/>
      <c r="DZ872" s="26"/>
      <c r="EA872" s="26"/>
      <c r="EB872" s="26"/>
      <c r="EC872" s="26"/>
      <c r="ED872" s="26"/>
      <c r="EE872" s="26"/>
    </row>
    <row r="873" spans="1:135" ht="18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  <c r="DB873" s="26"/>
      <c r="DC873" s="26"/>
      <c r="DD873" s="26"/>
      <c r="DE873" s="26"/>
      <c r="DF873" s="26"/>
      <c r="DG873" s="26"/>
      <c r="DH873" s="26"/>
      <c r="DI873" s="26"/>
      <c r="DJ873" s="26"/>
      <c r="DK873" s="26"/>
      <c r="DL873" s="26"/>
      <c r="DM873" s="26"/>
      <c r="DN873" s="26"/>
      <c r="DO873" s="26"/>
      <c r="DP873" s="26"/>
      <c r="DQ873" s="26"/>
      <c r="DR873" s="26"/>
      <c r="DS873" s="26"/>
      <c r="DT873" s="26"/>
      <c r="DU873" s="26"/>
      <c r="DV873" s="26"/>
      <c r="DW873" s="26"/>
      <c r="DX873" s="26"/>
      <c r="DY873" s="26"/>
      <c r="DZ873" s="26"/>
      <c r="EA873" s="26"/>
      <c r="EB873" s="26"/>
      <c r="EC873" s="26"/>
      <c r="ED873" s="26"/>
      <c r="EE873" s="26"/>
    </row>
    <row r="874" spans="1:135" ht="18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6"/>
      <c r="DC874" s="26"/>
      <c r="DD874" s="26"/>
      <c r="DE874" s="26"/>
      <c r="DF874" s="26"/>
      <c r="DG874" s="26"/>
      <c r="DH874" s="26"/>
      <c r="DI874" s="26"/>
      <c r="DJ874" s="26"/>
      <c r="DK874" s="26"/>
      <c r="DL874" s="26"/>
      <c r="DM874" s="26"/>
      <c r="DN874" s="26"/>
      <c r="DO874" s="26"/>
      <c r="DP874" s="26"/>
      <c r="DQ874" s="26"/>
      <c r="DR874" s="26"/>
      <c r="DS874" s="26"/>
      <c r="DT874" s="26"/>
      <c r="DU874" s="26"/>
      <c r="DV874" s="26"/>
      <c r="DW874" s="26"/>
      <c r="DX874" s="26"/>
      <c r="DY874" s="26"/>
      <c r="DZ874" s="26"/>
      <c r="EA874" s="26"/>
      <c r="EB874" s="26"/>
      <c r="EC874" s="26"/>
      <c r="ED874" s="26"/>
      <c r="EE874" s="26"/>
    </row>
    <row r="875" spans="1:135" ht="18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  <c r="DB875" s="26"/>
      <c r="DC875" s="26"/>
      <c r="DD875" s="26"/>
      <c r="DE875" s="26"/>
      <c r="DF875" s="26"/>
      <c r="DG875" s="26"/>
      <c r="DH875" s="26"/>
      <c r="DI875" s="26"/>
      <c r="DJ875" s="26"/>
      <c r="DK875" s="26"/>
      <c r="DL875" s="26"/>
      <c r="DM875" s="26"/>
      <c r="DN875" s="26"/>
      <c r="DO875" s="26"/>
      <c r="DP875" s="26"/>
      <c r="DQ875" s="26"/>
      <c r="DR875" s="26"/>
      <c r="DS875" s="26"/>
      <c r="DT875" s="26"/>
      <c r="DU875" s="26"/>
      <c r="DV875" s="26"/>
      <c r="DW875" s="26"/>
      <c r="DX875" s="26"/>
      <c r="DY875" s="26"/>
      <c r="DZ875" s="26"/>
      <c r="EA875" s="26"/>
      <c r="EB875" s="26"/>
      <c r="EC875" s="26"/>
      <c r="ED875" s="26"/>
      <c r="EE875" s="26"/>
    </row>
    <row r="876" spans="1:135" ht="18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  <c r="DB876" s="26"/>
      <c r="DC876" s="26"/>
      <c r="DD876" s="26"/>
      <c r="DE876" s="26"/>
      <c r="DF876" s="26"/>
      <c r="DG876" s="26"/>
      <c r="DH876" s="26"/>
      <c r="DI876" s="26"/>
      <c r="DJ876" s="26"/>
      <c r="DK876" s="26"/>
      <c r="DL876" s="26"/>
      <c r="DM876" s="26"/>
      <c r="DN876" s="26"/>
      <c r="DO876" s="26"/>
      <c r="DP876" s="26"/>
      <c r="DQ876" s="26"/>
      <c r="DR876" s="26"/>
      <c r="DS876" s="26"/>
      <c r="DT876" s="26"/>
      <c r="DU876" s="26"/>
      <c r="DV876" s="26"/>
      <c r="DW876" s="26"/>
      <c r="DX876" s="26"/>
      <c r="DY876" s="26"/>
      <c r="DZ876" s="26"/>
      <c r="EA876" s="26"/>
      <c r="EB876" s="26"/>
      <c r="EC876" s="26"/>
      <c r="ED876" s="26"/>
      <c r="EE876" s="26"/>
    </row>
    <row r="877" spans="1:135" ht="18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  <c r="DB877" s="26"/>
      <c r="DC877" s="26"/>
      <c r="DD877" s="26"/>
      <c r="DE877" s="26"/>
      <c r="DF877" s="26"/>
      <c r="DG877" s="26"/>
      <c r="DH877" s="26"/>
      <c r="DI877" s="26"/>
      <c r="DJ877" s="26"/>
      <c r="DK877" s="26"/>
      <c r="DL877" s="26"/>
      <c r="DM877" s="26"/>
      <c r="DN877" s="26"/>
      <c r="DO877" s="26"/>
      <c r="DP877" s="26"/>
      <c r="DQ877" s="26"/>
      <c r="DR877" s="26"/>
      <c r="DS877" s="26"/>
      <c r="DT877" s="26"/>
      <c r="DU877" s="26"/>
      <c r="DV877" s="26"/>
      <c r="DW877" s="26"/>
      <c r="DX877" s="26"/>
      <c r="DY877" s="26"/>
      <c r="DZ877" s="26"/>
      <c r="EA877" s="26"/>
      <c r="EB877" s="26"/>
      <c r="EC877" s="26"/>
      <c r="ED877" s="26"/>
      <c r="EE877" s="26"/>
    </row>
    <row r="878" spans="1:135" ht="18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  <c r="DB878" s="26"/>
      <c r="DC878" s="26"/>
      <c r="DD878" s="26"/>
      <c r="DE878" s="26"/>
      <c r="DF878" s="26"/>
      <c r="DG878" s="26"/>
      <c r="DH878" s="26"/>
      <c r="DI878" s="26"/>
      <c r="DJ878" s="26"/>
      <c r="DK878" s="26"/>
      <c r="DL878" s="26"/>
      <c r="DM878" s="26"/>
      <c r="DN878" s="26"/>
      <c r="DO878" s="26"/>
      <c r="DP878" s="26"/>
      <c r="DQ878" s="26"/>
      <c r="DR878" s="26"/>
      <c r="DS878" s="26"/>
      <c r="DT878" s="26"/>
      <c r="DU878" s="26"/>
      <c r="DV878" s="26"/>
      <c r="DW878" s="26"/>
      <c r="DX878" s="26"/>
      <c r="DY878" s="26"/>
      <c r="DZ878" s="26"/>
      <c r="EA878" s="26"/>
      <c r="EB878" s="26"/>
      <c r="EC878" s="26"/>
      <c r="ED878" s="26"/>
      <c r="EE878" s="26"/>
    </row>
    <row r="879" spans="1:135" ht="18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  <c r="DB879" s="26"/>
      <c r="DC879" s="26"/>
      <c r="DD879" s="26"/>
      <c r="DE879" s="26"/>
      <c r="DF879" s="26"/>
      <c r="DG879" s="26"/>
      <c r="DH879" s="26"/>
      <c r="DI879" s="26"/>
      <c r="DJ879" s="26"/>
      <c r="DK879" s="26"/>
      <c r="DL879" s="26"/>
      <c r="DM879" s="26"/>
      <c r="DN879" s="26"/>
      <c r="DO879" s="26"/>
      <c r="DP879" s="26"/>
      <c r="DQ879" s="26"/>
      <c r="DR879" s="26"/>
      <c r="DS879" s="26"/>
      <c r="DT879" s="26"/>
      <c r="DU879" s="26"/>
      <c r="DV879" s="26"/>
      <c r="DW879" s="26"/>
      <c r="DX879" s="26"/>
      <c r="DY879" s="26"/>
      <c r="DZ879" s="26"/>
      <c r="EA879" s="26"/>
      <c r="EB879" s="26"/>
      <c r="EC879" s="26"/>
      <c r="ED879" s="26"/>
      <c r="EE879" s="26"/>
    </row>
    <row r="880" spans="1:135" ht="18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  <c r="DC880" s="26"/>
      <c r="DD880" s="26"/>
      <c r="DE880" s="26"/>
      <c r="DF880" s="26"/>
      <c r="DG880" s="26"/>
      <c r="DH880" s="26"/>
      <c r="DI880" s="26"/>
      <c r="DJ880" s="26"/>
      <c r="DK880" s="26"/>
      <c r="DL880" s="26"/>
      <c r="DM880" s="26"/>
      <c r="DN880" s="26"/>
      <c r="DO880" s="26"/>
      <c r="DP880" s="26"/>
      <c r="DQ880" s="26"/>
      <c r="DR880" s="26"/>
      <c r="DS880" s="26"/>
      <c r="DT880" s="26"/>
      <c r="DU880" s="26"/>
      <c r="DV880" s="26"/>
      <c r="DW880" s="26"/>
      <c r="DX880" s="26"/>
      <c r="DY880" s="26"/>
      <c r="DZ880" s="26"/>
      <c r="EA880" s="26"/>
      <c r="EB880" s="26"/>
      <c r="EC880" s="26"/>
      <c r="ED880" s="26"/>
      <c r="EE880" s="26"/>
    </row>
    <row r="881" spans="1:135" ht="18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  <c r="DB881" s="26"/>
      <c r="DC881" s="26"/>
      <c r="DD881" s="26"/>
      <c r="DE881" s="26"/>
      <c r="DF881" s="26"/>
      <c r="DG881" s="26"/>
      <c r="DH881" s="26"/>
      <c r="DI881" s="26"/>
      <c r="DJ881" s="26"/>
      <c r="DK881" s="26"/>
      <c r="DL881" s="26"/>
      <c r="DM881" s="26"/>
      <c r="DN881" s="26"/>
      <c r="DO881" s="26"/>
      <c r="DP881" s="26"/>
      <c r="DQ881" s="26"/>
      <c r="DR881" s="26"/>
      <c r="DS881" s="26"/>
      <c r="DT881" s="26"/>
      <c r="DU881" s="26"/>
      <c r="DV881" s="26"/>
      <c r="DW881" s="26"/>
      <c r="DX881" s="26"/>
      <c r="DY881" s="26"/>
      <c r="DZ881" s="26"/>
      <c r="EA881" s="26"/>
      <c r="EB881" s="26"/>
      <c r="EC881" s="26"/>
      <c r="ED881" s="26"/>
      <c r="EE881" s="26"/>
    </row>
    <row r="882" spans="1:135" ht="18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  <c r="DB882" s="26"/>
      <c r="DC882" s="26"/>
      <c r="DD882" s="26"/>
      <c r="DE882" s="26"/>
      <c r="DF882" s="26"/>
      <c r="DG882" s="26"/>
      <c r="DH882" s="26"/>
      <c r="DI882" s="26"/>
      <c r="DJ882" s="26"/>
      <c r="DK882" s="26"/>
      <c r="DL882" s="26"/>
      <c r="DM882" s="26"/>
      <c r="DN882" s="26"/>
      <c r="DO882" s="26"/>
      <c r="DP882" s="26"/>
      <c r="DQ882" s="26"/>
      <c r="DR882" s="26"/>
      <c r="DS882" s="26"/>
      <c r="DT882" s="26"/>
      <c r="DU882" s="26"/>
      <c r="DV882" s="26"/>
      <c r="DW882" s="26"/>
      <c r="DX882" s="26"/>
      <c r="DY882" s="26"/>
      <c r="DZ882" s="26"/>
      <c r="EA882" s="26"/>
      <c r="EB882" s="26"/>
      <c r="EC882" s="26"/>
      <c r="ED882" s="26"/>
      <c r="EE882" s="26"/>
    </row>
    <row r="883" spans="1:135" ht="18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  <c r="DC883" s="26"/>
      <c r="DD883" s="26"/>
      <c r="DE883" s="26"/>
      <c r="DF883" s="26"/>
      <c r="DG883" s="26"/>
      <c r="DH883" s="26"/>
      <c r="DI883" s="26"/>
      <c r="DJ883" s="26"/>
      <c r="DK883" s="26"/>
      <c r="DL883" s="26"/>
      <c r="DM883" s="26"/>
      <c r="DN883" s="26"/>
      <c r="DO883" s="26"/>
      <c r="DP883" s="26"/>
      <c r="DQ883" s="26"/>
      <c r="DR883" s="26"/>
      <c r="DS883" s="26"/>
      <c r="DT883" s="26"/>
      <c r="DU883" s="26"/>
      <c r="DV883" s="26"/>
      <c r="DW883" s="26"/>
      <c r="DX883" s="26"/>
      <c r="DY883" s="26"/>
      <c r="DZ883" s="26"/>
      <c r="EA883" s="26"/>
      <c r="EB883" s="26"/>
      <c r="EC883" s="26"/>
      <c r="ED883" s="26"/>
      <c r="EE883" s="26"/>
    </row>
    <row r="884" spans="1:135" ht="18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  <c r="DC884" s="26"/>
      <c r="DD884" s="26"/>
      <c r="DE884" s="26"/>
      <c r="DF884" s="26"/>
      <c r="DG884" s="26"/>
      <c r="DH884" s="26"/>
      <c r="DI884" s="26"/>
      <c r="DJ884" s="26"/>
      <c r="DK884" s="26"/>
      <c r="DL884" s="26"/>
      <c r="DM884" s="26"/>
      <c r="DN884" s="26"/>
      <c r="DO884" s="26"/>
      <c r="DP884" s="26"/>
      <c r="DQ884" s="26"/>
      <c r="DR884" s="26"/>
      <c r="DS884" s="26"/>
      <c r="DT884" s="26"/>
      <c r="DU884" s="26"/>
      <c r="DV884" s="26"/>
      <c r="DW884" s="26"/>
      <c r="DX884" s="26"/>
      <c r="DY884" s="26"/>
      <c r="DZ884" s="26"/>
      <c r="EA884" s="26"/>
      <c r="EB884" s="26"/>
      <c r="EC884" s="26"/>
      <c r="ED884" s="26"/>
      <c r="EE884" s="26"/>
    </row>
    <row r="885" spans="1:135" ht="18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6"/>
      <c r="DC885" s="26"/>
      <c r="DD885" s="26"/>
      <c r="DE885" s="26"/>
      <c r="DF885" s="26"/>
      <c r="DG885" s="26"/>
      <c r="DH885" s="26"/>
      <c r="DI885" s="26"/>
      <c r="DJ885" s="26"/>
      <c r="DK885" s="26"/>
      <c r="DL885" s="26"/>
      <c r="DM885" s="26"/>
      <c r="DN885" s="26"/>
      <c r="DO885" s="26"/>
      <c r="DP885" s="26"/>
      <c r="DQ885" s="26"/>
      <c r="DR885" s="26"/>
      <c r="DS885" s="26"/>
      <c r="DT885" s="26"/>
      <c r="DU885" s="26"/>
      <c r="DV885" s="26"/>
      <c r="DW885" s="26"/>
      <c r="DX885" s="26"/>
      <c r="DY885" s="26"/>
      <c r="DZ885" s="26"/>
      <c r="EA885" s="26"/>
      <c r="EB885" s="26"/>
      <c r="EC885" s="26"/>
      <c r="ED885" s="26"/>
      <c r="EE885" s="26"/>
    </row>
    <row r="886" spans="1:135" ht="18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  <c r="DC886" s="26"/>
      <c r="DD886" s="26"/>
      <c r="DE886" s="26"/>
      <c r="DF886" s="26"/>
      <c r="DG886" s="26"/>
      <c r="DH886" s="26"/>
      <c r="DI886" s="26"/>
      <c r="DJ886" s="26"/>
      <c r="DK886" s="26"/>
      <c r="DL886" s="26"/>
      <c r="DM886" s="26"/>
      <c r="DN886" s="26"/>
      <c r="DO886" s="26"/>
      <c r="DP886" s="26"/>
      <c r="DQ886" s="26"/>
      <c r="DR886" s="26"/>
      <c r="DS886" s="26"/>
      <c r="DT886" s="26"/>
      <c r="DU886" s="26"/>
      <c r="DV886" s="26"/>
      <c r="DW886" s="26"/>
      <c r="DX886" s="26"/>
      <c r="DY886" s="26"/>
      <c r="DZ886" s="26"/>
      <c r="EA886" s="26"/>
      <c r="EB886" s="26"/>
      <c r="EC886" s="26"/>
      <c r="ED886" s="26"/>
      <c r="EE886" s="26"/>
    </row>
    <row r="887" spans="1:135" ht="18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  <c r="DB887" s="26"/>
      <c r="DC887" s="26"/>
      <c r="DD887" s="26"/>
      <c r="DE887" s="26"/>
      <c r="DF887" s="26"/>
      <c r="DG887" s="26"/>
      <c r="DH887" s="26"/>
      <c r="DI887" s="26"/>
      <c r="DJ887" s="26"/>
      <c r="DK887" s="26"/>
      <c r="DL887" s="26"/>
      <c r="DM887" s="26"/>
      <c r="DN887" s="26"/>
      <c r="DO887" s="26"/>
      <c r="DP887" s="26"/>
      <c r="DQ887" s="26"/>
      <c r="DR887" s="26"/>
      <c r="DS887" s="26"/>
      <c r="DT887" s="26"/>
      <c r="DU887" s="26"/>
      <c r="DV887" s="26"/>
      <c r="DW887" s="26"/>
      <c r="DX887" s="26"/>
      <c r="DY887" s="26"/>
      <c r="DZ887" s="26"/>
      <c r="EA887" s="26"/>
      <c r="EB887" s="26"/>
      <c r="EC887" s="26"/>
      <c r="ED887" s="26"/>
      <c r="EE887" s="26"/>
    </row>
    <row r="888" spans="1:135" ht="18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  <c r="DC888" s="26"/>
      <c r="DD888" s="26"/>
      <c r="DE888" s="26"/>
      <c r="DF888" s="26"/>
      <c r="DG888" s="26"/>
      <c r="DH888" s="26"/>
      <c r="DI888" s="26"/>
      <c r="DJ888" s="26"/>
      <c r="DK888" s="26"/>
      <c r="DL888" s="26"/>
      <c r="DM888" s="26"/>
      <c r="DN888" s="26"/>
      <c r="DO888" s="26"/>
      <c r="DP888" s="26"/>
      <c r="DQ888" s="26"/>
      <c r="DR888" s="26"/>
      <c r="DS888" s="26"/>
      <c r="DT888" s="26"/>
      <c r="DU888" s="26"/>
      <c r="DV888" s="26"/>
      <c r="DW888" s="26"/>
      <c r="DX888" s="26"/>
      <c r="DY888" s="26"/>
      <c r="DZ888" s="26"/>
      <c r="EA888" s="26"/>
      <c r="EB888" s="26"/>
      <c r="EC888" s="26"/>
      <c r="ED888" s="26"/>
      <c r="EE888" s="26"/>
    </row>
    <row r="889" spans="1:135" ht="18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  <c r="DB889" s="26"/>
      <c r="DC889" s="26"/>
      <c r="DD889" s="26"/>
      <c r="DE889" s="26"/>
      <c r="DF889" s="26"/>
      <c r="DG889" s="26"/>
      <c r="DH889" s="26"/>
      <c r="DI889" s="26"/>
      <c r="DJ889" s="26"/>
      <c r="DK889" s="26"/>
      <c r="DL889" s="26"/>
      <c r="DM889" s="26"/>
      <c r="DN889" s="26"/>
      <c r="DO889" s="26"/>
      <c r="DP889" s="26"/>
      <c r="DQ889" s="26"/>
      <c r="DR889" s="26"/>
      <c r="DS889" s="26"/>
      <c r="DT889" s="26"/>
      <c r="DU889" s="26"/>
      <c r="DV889" s="26"/>
      <c r="DW889" s="26"/>
      <c r="DX889" s="26"/>
      <c r="DY889" s="26"/>
      <c r="DZ889" s="26"/>
      <c r="EA889" s="26"/>
      <c r="EB889" s="26"/>
      <c r="EC889" s="26"/>
      <c r="ED889" s="26"/>
      <c r="EE889" s="26"/>
    </row>
    <row r="890" spans="1:135" ht="18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  <c r="DC890" s="26"/>
      <c r="DD890" s="26"/>
      <c r="DE890" s="26"/>
      <c r="DF890" s="26"/>
      <c r="DG890" s="26"/>
      <c r="DH890" s="26"/>
      <c r="DI890" s="26"/>
      <c r="DJ890" s="26"/>
      <c r="DK890" s="26"/>
      <c r="DL890" s="26"/>
      <c r="DM890" s="26"/>
      <c r="DN890" s="26"/>
      <c r="DO890" s="26"/>
      <c r="DP890" s="26"/>
      <c r="DQ890" s="26"/>
      <c r="DR890" s="26"/>
      <c r="DS890" s="26"/>
      <c r="DT890" s="26"/>
      <c r="DU890" s="26"/>
      <c r="DV890" s="26"/>
      <c r="DW890" s="26"/>
      <c r="DX890" s="26"/>
      <c r="DY890" s="26"/>
      <c r="DZ890" s="26"/>
      <c r="EA890" s="26"/>
      <c r="EB890" s="26"/>
      <c r="EC890" s="26"/>
      <c r="ED890" s="26"/>
      <c r="EE890" s="26"/>
    </row>
    <row r="891" spans="1:135" ht="18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  <c r="DC891" s="26"/>
      <c r="DD891" s="26"/>
      <c r="DE891" s="26"/>
      <c r="DF891" s="26"/>
      <c r="DG891" s="26"/>
      <c r="DH891" s="26"/>
      <c r="DI891" s="26"/>
      <c r="DJ891" s="26"/>
      <c r="DK891" s="26"/>
      <c r="DL891" s="26"/>
      <c r="DM891" s="26"/>
      <c r="DN891" s="26"/>
      <c r="DO891" s="26"/>
      <c r="DP891" s="26"/>
      <c r="DQ891" s="26"/>
      <c r="DR891" s="26"/>
      <c r="DS891" s="26"/>
      <c r="DT891" s="26"/>
      <c r="DU891" s="26"/>
      <c r="DV891" s="26"/>
      <c r="DW891" s="26"/>
      <c r="DX891" s="26"/>
      <c r="DY891" s="26"/>
      <c r="DZ891" s="26"/>
      <c r="EA891" s="26"/>
      <c r="EB891" s="26"/>
      <c r="EC891" s="26"/>
      <c r="ED891" s="26"/>
      <c r="EE891" s="26"/>
    </row>
    <row r="892" spans="1:135" ht="18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  <c r="DC892" s="26"/>
      <c r="DD892" s="26"/>
      <c r="DE892" s="26"/>
      <c r="DF892" s="26"/>
      <c r="DG892" s="26"/>
      <c r="DH892" s="26"/>
      <c r="DI892" s="26"/>
      <c r="DJ892" s="26"/>
      <c r="DK892" s="26"/>
      <c r="DL892" s="26"/>
      <c r="DM892" s="26"/>
      <c r="DN892" s="26"/>
      <c r="DO892" s="26"/>
      <c r="DP892" s="26"/>
      <c r="DQ892" s="26"/>
      <c r="DR892" s="26"/>
      <c r="DS892" s="26"/>
      <c r="DT892" s="26"/>
      <c r="DU892" s="26"/>
      <c r="DV892" s="26"/>
      <c r="DW892" s="26"/>
      <c r="DX892" s="26"/>
      <c r="DY892" s="26"/>
      <c r="DZ892" s="26"/>
      <c r="EA892" s="26"/>
      <c r="EB892" s="26"/>
      <c r="EC892" s="26"/>
      <c r="ED892" s="26"/>
      <c r="EE892" s="26"/>
    </row>
    <row r="893" spans="1:135" ht="18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  <c r="DC893" s="26"/>
      <c r="DD893" s="26"/>
      <c r="DE893" s="26"/>
      <c r="DF893" s="26"/>
      <c r="DG893" s="26"/>
      <c r="DH893" s="26"/>
      <c r="DI893" s="26"/>
      <c r="DJ893" s="26"/>
      <c r="DK893" s="26"/>
      <c r="DL893" s="26"/>
      <c r="DM893" s="26"/>
      <c r="DN893" s="26"/>
      <c r="DO893" s="26"/>
      <c r="DP893" s="26"/>
      <c r="DQ893" s="26"/>
      <c r="DR893" s="26"/>
      <c r="DS893" s="26"/>
      <c r="DT893" s="26"/>
      <c r="DU893" s="26"/>
      <c r="DV893" s="26"/>
      <c r="DW893" s="26"/>
      <c r="DX893" s="26"/>
      <c r="DY893" s="26"/>
      <c r="DZ893" s="26"/>
      <c r="EA893" s="26"/>
      <c r="EB893" s="26"/>
      <c r="EC893" s="26"/>
      <c r="ED893" s="26"/>
      <c r="EE893" s="26"/>
    </row>
    <row r="894" spans="1:135" ht="18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  <c r="DC894" s="26"/>
      <c r="DD894" s="26"/>
      <c r="DE894" s="26"/>
      <c r="DF894" s="26"/>
      <c r="DG894" s="26"/>
      <c r="DH894" s="26"/>
      <c r="DI894" s="26"/>
      <c r="DJ894" s="26"/>
      <c r="DK894" s="26"/>
      <c r="DL894" s="26"/>
      <c r="DM894" s="26"/>
      <c r="DN894" s="26"/>
      <c r="DO894" s="26"/>
      <c r="DP894" s="26"/>
      <c r="DQ894" s="26"/>
      <c r="DR894" s="26"/>
      <c r="DS894" s="26"/>
      <c r="DT894" s="26"/>
      <c r="DU894" s="26"/>
      <c r="DV894" s="26"/>
      <c r="DW894" s="26"/>
      <c r="DX894" s="26"/>
      <c r="DY894" s="26"/>
      <c r="DZ894" s="26"/>
      <c r="EA894" s="26"/>
      <c r="EB894" s="26"/>
      <c r="EC894" s="26"/>
      <c r="ED894" s="26"/>
      <c r="EE894" s="26"/>
    </row>
    <row r="895" spans="1:135" ht="18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/>
      <c r="DD895" s="26"/>
      <c r="DE895" s="26"/>
      <c r="DF895" s="26"/>
      <c r="DG895" s="26"/>
      <c r="DH895" s="26"/>
      <c r="DI895" s="26"/>
      <c r="DJ895" s="26"/>
      <c r="DK895" s="26"/>
      <c r="DL895" s="26"/>
      <c r="DM895" s="26"/>
      <c r="DN895" s="26"/>
      <c r="DO895" s="26"/>
      <c r="DP895" s="26"/>
      <c r="DQ895" s="26"/>
      <c r="DR895" s="26"/>
      <c r="DS895" s="26"/>
      <c r="DT895" s="26"/>
      <c r="DU895" s="26"/>
      <c r="DV895" s="26"/>
      <c r="DW895" s="26"/>
      <c r="DX895" s="26"/>
      <c r="DY895" s="26"/>
      <c r="DZ895" s="26"/>
      <c r="EA895" s="26"/>
      <c r="EB895" s="26"/>
      <c r="EC895" s="26"/>
      <c r="ED895" s="26"/>
      <c r="EE895" s="26"/>
    </row>
    <row r="896" spans="1:135" ht="18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  <c r="DB896" s="26"/>
      <c r="DC896" s="26"/>
      <c r="DD896" s="26"/>
      <c r="DE896" s="26"/>
      <c r="DF896" s="26"/>
      <c r="DG896" s="26"/>
      <c r="DH896" s="26"/>
      <c r="DI896" s="26"/>
      <c r="DJ896" s="26"/>
      <c r="DK896" s="26"/>
      <c r="DL896" s="26"/>
      <c r="DM896" s="26"/>
      <c r="DN896" s="26"/>
      <c r="DO896" s="26"/>
      <c r="DP896" s="26"/>
      <c r="DQ896" s="26"/>
      <c r="DR896" s="26"/>
      <c r="DS896" s="26"/>
      <c r="DT896" s="26"/>
      <c r="DU896" s="26"/>
      <c r="DV896" s="26"/>
      <c r="DW896" s="26"/>
      <c r="DX896" s="26"/>
      <c r="DY896" s="26"/>
      <c r="DZ896" s="26"/>
      <c r="EA896" s="26"/>
      <c r="EB896" s="26"/>
      <c r="EC896" s="26"/>
      <c r="ED896" s="26"/>
      <c r="EE896" s="26"/>
    </row>
    <row r="897" spans="1:135" ht="18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6"/>
      <c r="DC897" s="26"/>
      <c r="DD897" s="26"/>
      <c r="DE897" s="26"/>
      <c r="DF897" s="26"/>
      <c r="DG897" s="26"/>
      <c r="DH897" s="26"/>
      <c r="DI897" s="26"/>
      <c r="DJ897" s="26"/>
      <c r="DK897" s="26"/>
      <c r="DL897" s="26"/>
      <c r="DM897" s="26"/>
      <c r="DN897" s="26"/>
      <c r="DO897" s="26"/>
      <c r="DP897" s="26"/>
      <c r="DQ897" s="26"/>
      <c r="DR897" s="26"/>
      <c r="DS897" s="26"/>
      <c r="DT897" s="26"/>
      <c r="DU897" s="26"/>
      <c r="DV897" s="26"/>
      <c r="DW897" s="26"/>
      <c r="DX897" s="26"/>
      <c r="DY897" s="26"/>
      <c r="DZ897" s="26"/>
      <c r="EA897" s="26"/>
      <c r="EB897" s="26"/>
      <c r="EC897" s="26"/>
      <c r="ED897" s="26"/>
      <c r="EE897" s="26"/>
    </row>
    <row r="898" spans="1:135" ht="18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  <c r="DB898" s="26"/>
      <c r="DC898" s="26"/>
      <c r="DD898" s="26"/>
      <c r="DE898" s="26"/>
      <c r="DF898" s="26"/>
      <c r="DG898" s="26"/>
      <c r="DH898" s="26"/>
      <c r="DI898" s="26"/>
      <c r="DJ898" s="26"/>
      <c r="DK898" s="26"/>
      <c r="DL898" s="26"/>
      <c r="DM898" s="26"/>
      <c r="DN898" s="26"/>
      <c r="DO898" s="26"/>
      <c r="DP898" s="26"/>
      <c r="DQ898" s="26"/>
      <c r="DR898" s="26"/>
      <c r="DS898" s="26"/>
      <c r="DT898" s="26"/>
      <c r="DU898" s="26"/>
      <c r="DV898" s="26"/>
      <c r="DW898" s="26"/>
      <c r="DX898" s="26"/>
      <c r="DY898" s="26"/>
      <c r="DZ898" s="26"/>
      <c r="EA898" s="26"/>
      <c r="EB898" s="26"/>
      <c r="EC898" s="26"/>
      <c r="ED898" s="26"/>
      <c r="EE898" s="26"/>
    </row>
    <row r="899" spans="1:135" ht="18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  <c r="DC899" s="26"/>
      <c r="DD899" s="26"/>
      <c r="DE899" s="26"/>
      <c r="DF899" s="26"/>
      <c r="DG899" s="26"/>
      <c r="DH899" s="26"/>
      <c r="DI899" s="26"/>
      <c r="DJ899" s="26"/>
      <c r="DK899" s="26"/>
      <c r="DL899" s="26"/>
      <c r="DM899" s="26"/>
      <c r="DN899" s="26"/>
      <c r="DO899" s="26"/>
      <c r="DP899" s="26"/>
      <c r="DQ899" s="26"/>
      <c r="DR899" s="26"/>
      <c r="DS899" s="26"/>
      <c r="DT899" s="26"/>
      <c r="DU899" s="26"/>
      <c r="DV899" s="26"/>
      <c r="DW899" s="26"/>
      <c r="DX899" s="26"/>
      <c r="DY899" s="26"/>
      <c r="DZ899" s="26"/>
      <c r="EA899" s="26"/>
      <c r="EB899" s="26"/>
      <c r="EC899" s="26"/>
      <c r="ED899" s="26"/>
      <c r="EE899" s="26"/>
    </row>
    <row r="900" spans="1:135" ht="18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  <c r="DC900" s="26"/>
      <c r="DD900" s="26"/>
      <c r="DE900" s="26"/>
      <c r="DF900" s="26"/>
      <c r="DG900" s="26"/>
      <c r="DH900" s="26"/>
      <c r="DI900" s="26"/>
      <c r="DJ900" s="26"/>
      <c r="DK900" s="26"/>
      <c r="DL900" s="26"/>
      <c r="DM900" s="26"/>
      <c r="DN900" s="26"/>
      <c r="DO900" s="26"/>
      <c r="DP900" s="26"/>
      <c r="DQ900" s="26"/>
      <c r="DR900" s="26"/>
      <c r="DS900" s="26"/>
      <c r="DT900" s="26"/>
      <c r="DU900" s="26"/>
      <c r="DV900" s="26"/>
      <c r="DW900" s="26"/>
      <c r="DX900" s="26"/>
      <c r="DY900" s="26"/>
      <c r="DZ900" s="26"/>
      <c r="EA900" s="26"/>
      <c r="EB900" s="26"/>
      <c r="EC900" s="26"/>
      <c r="ED900" s="26"/>
      <c r="EE900" s="26"/>
    </row>
    <row r="901" spans="1:135" ht="18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/>
      <c r="DD901" s="26"/>
      <c r="DE901" s="26"/>
      <c r="DF901" s="26"/>
      <c r="DG901" s="26"/>
      <c r="DH901" s="26"/>
      <c r="DI901" s="26"/>
      <c r="DJ901" s="26"/>
      <c r="DK901" s="26"/>
      <c r="DL901" s="26"/>
      <c r="DM901" s="26"/>
      <c r="DN901" s="26"/>
      <c r="DO901" s="26"/>
      <c r="DP901" s="26"/>
      <c r="DQ901" s="26"/>
      <c r="DR901" s="26"/>
      <c r="DS901" s="26"/>
      <c r="DT901" s="26"/>
      <c r="DU901" s="26"/>
      <c r="DV901" s="26"/>
      <c r="DW901" s="26"/>
      <c r="DX901" s="26"/>
      <c r="DY901" s="26"/>
      <c r="DZ901" s="26"/>
      <c r="EA901" s="26"/>
      <c r="EB901" s="26"/>
      <c r="EC901" s="26"/>
      <c r="ED901" s="26"/>
      <c r="EE901" s="26"/>
    </row>
    <row r="902" spans="1:135" ht="18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  <c r="DB902" s="26"/>
      <c r="DC902" s="26"/>
      <c r="DD902" s="26"/>
      <c r="DE902" s="26"/>
      <c r="DF902" s="26"/>
      <c r="DG902" s="26"/>
      <c r="DH902" s="26"/>
      <c r="DI902" s="26"/>
      <c r="DJ902" s="26"/>
      <c r="DK902" s="26"/>
      <c r="DL902" s="26"/>
      <c r="DM902" s="26"/>
      <c r="DN902" s="26"/>
      <c r="DO902" s="26"/>
      <c r="DP902" s="26"/>
      <c r="DQ902" s="26"/>
      <c r="DR902" s="26"/>
      <c r="DS902" s="26"/>
      <c r="DT902" s="26"/>
      <c r="DU902" s="26"/>
      <c r="DV902" s="26"/>
      <c r="DW902" s="26"/>
      <c r="DX902" s="26"/>
      <c r="DY902" s="26"/>
      <c r="DZ902" s="26"/>
      <c r="EA902" s="26"/>
      <c r="EB902" s="26"/>
      <c r="EC902" s="26"/>
      <c r="ED902" s="26"/>
      <c r="EE902" s="26"/>
    </row>
    <row r="903" spans="1:135" ht="18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  <c r="DB903" s="26"/>
      <c r="DC903" s="26"/>
      <c r="DD903" s="26"/>
      <c r="DE903" s="26"/>
      <c r="DF903" s="26"/>
      <c r="DG903" s="26"/>
      <c r="DH903" s="26"/>
      <c r="DI903" s="26"/>
      <c r="DJ903" s="26"/>
      <c r="DK903" s="26"/>
      <c r="DL903" s="26"/>
      <c r="DM903" s="26"/>
      <c r="DN903" s="26"/>
      <c r="DO903" s="26"/>
      <c r="DP903" s="26"/>
      <c r="DQ903" s="26"/>
      <c r="DR903" s="26"/>
      <c r="DS903" s="26"/>
      <c r="DT903" s="26"/>
      <c r="DU903" s="26"/>
      <c r="DV903" s="26"/>
      <c r="DW903" s="26"/>
      <c r="DX903" s="26"/>
      <c r="DY903" s="26"/>
      <c r="DZ903" s="26"/>
      <c r="EA903" s="26"/>
      <c r="EB903" s="26"/>
      <c r="EC903" s="26"/>
      <c r="ED903" s="26"/>
      <c r="EE903" s="26"/>
    </row>
    <row r="904" spans="1:135" ht="18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  <c r="DC904" s="26"/>
      <c r="DD904" s="26"/>
      <c r="DE904" s="26"/>
      <c r="DF904" s="26"/>
      <c r="DG904" s="26"/>
      <c r="DH904" s="26"/>
      <c r="DI904" s="26"/>
      <c r="DJ904" s="26"/>
      <c r="DK904" s="26"/>
      <c r="DL904" s="26"/>
      <c r="DM904" s="26"/>
      <c r="DN904" s="26"/>
      <c r="DO904" s="26"/>
      <c r="DP904" s="26"/>
      <c r="DQ904" s="26"/>
      <c r="DR904" s="26"/>
      <c r="DS904" s="26"/>
      <c r="DT904" s="26"/>
      <c r="DU904" s="26"/>
      <c r="DV904" s="26"/>
      <c r="DW904" s="26"/>
      <c r="DX904" s="26"/>
      <c r="DY904" s="26"/>
      <c r="DZ904" s="26"/>
      <c r="EA904" s="26"/>
      <c r="EB904" s="26"/>
      <c r="EC904" s="26"/>
      <c r="ED904" s="26"/>
      <c r="EE904" s="26"/>
    </row>
    <row r="905" spans="1:135" ht="18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  <c r="DB905" s="26"/>
      <c r="DC905" s="26"/>
      <c r="DD905" s="26"/>
      <c r="DE905" s="26"/>
      <c r="DF905" s="26"/>
      <c r="DG905" s="26"/>
      <c r="DH905" s="26"/>
      <c r="DI905" s="26"/>
      <c r="DJ905" s="26"/>
      <c r="DK905" s="26"/>
      <c r="DL905" s="26"/>
      <c r="DM905" s="26"/>
      <c r="DN905" s="26"/>
      <c r="DO905" s="26"/>
      <c r="DP905" s="26"/>
      <c r="DQ905" s="26"/>
      <c r="DR905" s="26"/>
      <c r="DS905" s="26"/>
      <c r="DT905" s="26"/>
      <c r="DU905" s="26"/>
      <c r="DV905" s="26"/>
      <c r="DW905" s="26"/>
      <c r="DX905" s="26"/>
      <c r="DY905" s="26"/>
      <c r="DZ905" s="26"/>
      <c r="EA905" s="26"/>
      <c r="EB905" s="26"/>
      <c r="EC905" s="26"/>
      <c r="ED905" s="26"/>
      <c r="EE905" s="26"/>
    </row>
    <row r="906" spans="1:135" ht="18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  <c r="DC906" s="26"/>
      <c r="DD906" s="26"/>
      <c r="DE906" s="26"/>
      <c r="DF906" s="26"/>
      <c r="DG906" s="26"/>
      <c r="DH906" s="26"/>
      <c r="DI906" s="26"/>
      <c r="DJ906" s="26"/>
      <c r="DK906" s="26"/>
      <c r="DL906" s="26"/>
      <c r="DM906" s="26"/>
      <c r="DN906" s="26"/>
      <c r="DO906" s="26"/>
      <c r="DP906" s="26"/>
      <c r="DQ906" s="26"/>
      <c r="DR906" s="26"/>
      <c r="DS906" s="26"/>
      <c r="DT906" s="26"/>
      <c r="DU906" s="26"/>
      <c r="DV906" s="26"/>
      <c r="DW906" s="26"/>
      <c r="DX906" s="26"/>
      <c r="DY906" s="26"/>
      <c r="DZ906" s="26"/>
      <c r="EA906" s="26"/>
      <c r="EB906" s="26"/>
      <c r="EC906" s="26"/>
      <c r="ED906" s="26"/>
      <c r="EE906" s="26"/>
    </row>
    <row r="907" spans="1:135" ht="18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  <c r="DB907" s="26"/>
      <c r="DC907" s="26"/>
      <c r="DD907" s="26"/>
      <c r="DE907" s="26"/>
      <c r="DF907" s="26"/>
      <c r="DG907" s="26"/>
      <c r="DH907" s="26"/>
      <c r="DI907" s="26"/>
      <c r="DJ907" s="26"/>
      <c r="DK907" s="26"/>
      <c r="DL907" s="26"/>
      <c r="DM907" s="26"/>
      <c r="DN907" s="26"/>
      <c r="DO907" s="26"/>
      <c r="DP907" s="26"/>
      <c r="DQ907" s="26"/>
      <c r="DR907" s="26"/>
      <c r="DS907" s="26"/>
      <c r="DT907" s="26"/>
      <c r="DU907" s="26"/>
      <c r="DV907" s="26"/>
      <c r="DW907" s="26"/>
      <c r="DX907" s="26"/>
      <c r="DY907" s="26"/>
      <c r="DZ907" s="26"/>
      <c r="EA907" s="26"/>
      <c r="EB907" s="26"/>
      <c r="EC907" s="26"/>
      <c r="ED907" s="26"/>
      <c r="EE907" s="26"/>
    </row>
    <row r="908" spans="1:135" ht="18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6"/>
      <c r="DC908" s="26"/>
      <c r="DD908" s="26"/>
      <c r="DE908" s="26"/>
      <c r="DF908" s="26"/>
      <c r="DG908" s="26"/>
      <c r="DH908" s="26"/>
      <c r="DI908" s="26"/>
      <c r="DJ908" s="26"/>
      <c r="DK908" s="26"/>
      <c r="DL908" s="26"/>
      <c r="DM908" s="26"/>
      <c r="DN908" s="26"/>
      <c r="DO908" s="26"/>
      <c r="DP908" s="26"/>
      <c r="DQ908" s="26"/>
      <c r="DR908" s="26"/>
      <c r="DS908" s="26"/>
      <c r="DT908" s="26"/>
      <c r="DU908" s="26"/>
      <c r="DV908" s="26"/>
      <c r="DW908" s="26"/>
      <c r="DX908" s="26"/>
      <c r="DY908" s="26"/>
      <c r="DZ908" s="26"/>
      <c r="EA908" s="26"/>
      <c r="EB908" s="26"/>
      <c r="EC908" s="26"/>
      <c r="ED908" s="26"/>
      <c r="EE908" s="26"/>
    </row>
    <row r="909" spans="1:135" ht="18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  <c r="DC909" s="26"/>
      <c r="DD909" s="26"/>
      <c r="DE909" s="26"/>
      <c r="DF909" s="26"/>
      <c r="DG909" s="26"/>
      <c r="DH909" s="26"/>
      <c r="DI909" s="26"/>
      <c r="DJ909" s="26"/>
      <c r="DK909" s="26"/>
      <c r="DL909" s="26"/>
      <c r="DM909" s="26"/>
      <c r="DN909" s="26"/>
      <c r="DO909" s="26"/>
      <c r="DP909" s="26"/>
      <c r="DQ909" s="26"/>
      <c r="DR909" s="26"/>
      <c r="DS909" s="26"/>
      <c r="DT909" s="26"/>
      <c r="DU909" s="26"/>
      <c r="DV909" s="26"/>
      <c r="DW909" s="26"/>
      <c r="DX909" s="26"/>
      <c r="DY909" s="26"/>
      <c r="DZ909" s="26"/>
      <c r="EA909" s="26"/>
      <c r="EB909" s="26"/>
      <c r="EC909" s="26"/>
      <c r="ED909" s="26"/>
      <c r="EE909" s="26"/>
    </row>
    <row r="910" spans="1:135" ht="18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  <c r="DC910" s="26"/>
      <c r="DD910" s="26"/>
      <c r="DE910" s="26"/>
      <c r="DF910" s="26"/>
      <c r="DG910" s="26"/>
      <c r="DH910" s="26"/>
      <c r="DI910" s="26"/>
      <c r="DJ910" s="26"/>
      <c r="DK910" s="26"/>
      <c r="DL910" s="26"/>
      <c r="DM910" s="26"/>
      <c r="DN910" s="26"/>
      <c r="DO910" s="26"/>
      <c r="DP910" s="26"/>
      <c r="DQ910" s="26"/>
      <c r="DR910" s="26"/>
      <c r="DS910" s="26"/>
      <c r="DT910" s="26"/>
      <c r="DU910" s="26"/>
      <c r="DV910" s="26"/>
      <c r="DW910" s="26"/>
      <c r="DX910" s="26"/>
      <c r="DY910" s="26"/>
      <c r="DZ910" s="26"/>
      <c r="EA910" s="26"/>
      <c r="EB910" s="26"/>
      <c r="EC910" s="26"/>
      <c r="ED910" s="26"/>
      <c r="EE910" s="26"/>
    </row>
    <row r="911" spans="1:135" ht="18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  <c r="DC911" s="26"/>
      <c r="DD911" s="26"/>
      <c r="DE911" s="26"/>
      <c r="DF911" s="26"/>
      <c r="DG911" s="26"/>
      <c r="DH911" s="26"/>
      <c r="DI911" s="26"/>
      <c r="DJ911" s="26"/>
      <c r="DK911" s="26"/>
      <c r="DL911" s="26"/>
      <c r="DM911" s="26"/>
      <c r="DN911" s="26"/>
      <c r="DO911" s="26"/>
      <c r="DP911" s="26"/>
      <c r="DQ911" s="26"/>
      <c r="DR911" s="26"/>
      <c r="DS911" s="26"/>
      <c r="DT911" s="26"/>
      <c r="DU911" s="26"/>
      <c r="DV911" s="26"/>
      <c r="DW911" s="26"/>
      <c r="DX911" s="26"/>
      <c r="DY911" s="26"/>
      <c r="DZ911" s="26"/>
      <c r="EA911" s="26"/>
      <c r="EB911" s="26"/>
      <c r="EC911" s="26"/>
      <c r="ED911" s="26"/>
      <c r="EE911" s="26"/>
    </row>
    <row r="912" spans="1:135" ht="18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  <c r="DC912" s="26"/>
      <c r="DD912" s="26"/>
      <c r="DE912" s="26"/>
      <c r="DF912" s="26"/>
      <c r="DG912" s="26"/>
      <c r="DH912" s="26"/>
      <c r="DI912" s="26"/>
      <c r="DJ912" s="26"/>
      <c r="DK912" s="26"/>
      <c r="DL912" s="26"/>
      <c r="DM912" s="26"/>
      <c r="DN912" s="26"/>
      <c r="DO912" s="26"/>
      <c r="DP912" s="26"/>
      <c r="DQ912" s="26"/>
      <c r="DR912" s="26"/>
      <c r="DS912" s="26"/>
      <c r="DT912" s="26"/>
      <c r="DU912" s="26"/>
      <c r="DV912" s="26"/>
      <c r="DW912" s="26"/>
      <c r="DX912" s="26"/>
      <c r="DY912" s="26"/>
      <c r="DZ912" s="26"/>
      <c r="EA912" s="26"/>
      <c r="EB912" s="26"/>
      <c r="EC912" s="26"/>
      <c r="ED912" s="26"/>
      <c r="EE912" s="26"/>
    </row>
    <row r="913" spans="1:135" ht="18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  <c r="DC913" s="26"/>
      <c r="DD913" s="26"/>
      <c r="DE913" s="26"/>
      <c r="DF913" s="26"/>
      <c r="DG913" s="26"/>
      <c r="DH913" s="26"/>
      <c r="DI913" s="26"/>
      <c r="DJ913" s="26"/>
      <c r="DK913" s="26"/>
      <c r="DL913" s="26"/>
      <c r="DM913" s="26"/>
      <c r="DN913" s="26"/>
      <c r="DO913" s="26"/>
      <c r="DP913" s="26"/>
      <c r="DQ913" s="26"/>
      <c r="DR913" s="26"/>
      <c r="DS913" s="26"/>
      <c r="DT913" s="26"/>
      <c r="DU913" s="26"/>
      <c r="DV913" s="26"/>
      <c r="DW913" s="26"/>
      <c r="DX913" s="26"/>
      <c r="DY913" s="26"/>
      <c r="DZ913" s="26"/>
      <c r="EA913" s="26"/>
      <c r="EB913" s="26"/>
      <c r="EC913" s="26"/>
      <c r="ED913" s="26"/>
      <c r="EE913" s="26"/>
    </row>
    <row r="914" spans="1:135" ht="18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  <c r="DB914" s="26"/>
      <c r="DC914" s="26"/>
      <c r="DD914" s="26"/>
      <c r="DE914" s="26"/>
      <c r="DF914" s="26"/>
      <c r="DG914" s="26"/>
      <c r="DH914" s="26"/>
      <c r="DI914" s="26"/>
      <c r="DJ914" s="26"/>
      <c r="DK914" s="26"/>
      <c r="DL914" s="26"/>
      <c r="DM914" s="26"/>
      <c r="DN914" s="26"/>
      <c r="DO914" s="26"/>
      <c r="DP914" s="26"/>
      <c r="DQ914" s="26"/>
      <c r="DR914" s="26"/>
      <c r="DS914" s="26"/>
      <c r="DT914" s="26"/>
      <c r="DU914" s="26"/>
      <c r="DV914" s="26"/>
      <c r="DW914" s="26"/>
      <c r="DX914" s="26"/>
      <c r="DY914" s="26"/>
      <c r="DZ914" s="26"/>
      <c r="EA914" s="26"/>
      <c r="EB914" s="26"/>
      <c r="EC914" s="26"/>
      <c r="ED914" s="26"/>
      <c r="EE914" s="26"/>
    </row>
    <row r="915" spans="1:135" ht="18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  <c r="DC915" s="26"/>
      <c r="DD915" s="26"/>
      <c r="DE915" s="26"/>
      <c r="DF915" s="26"/>
      <c r="DG915" s="26"/>
      <c r="DH915" s="26"/>
      <c r="DI915" s="26"/>
      <c r="DJ915" s="26"/>
      <c r="DK915" s="26"/>
      <c r="DL915" s="26"/>
      <c r="DM915" s="26"/>
      <c r="DN915" s="26"/>
      <c r="DO915" s="26"/>
      <c r="DP915" s="26"/>
      <c r="DQ915" s="26"/>
      <c r="DR915" s="26"/>
      <c r="DS915" s="26"/>
      <c r="DT915" s="26"/>
      <c r="DU915" s="26"/>
      <c r="DV915" s="26"/>
      <c r="DW915" s="26"/>
      <c r="DX915" s="26"/>
      <c r="DY915" s="26"/>
      <c r="DZ915" s="26"/>
      <c r="EA915" s="26"/>
      <c r="EB915" s="26"/>
      <c r="EC915" s="26"/>
      <c r="ED915" s="26"/>
      <c r="EE915" s="26"/>
    </row>
    <row r="916" spans="1:135" ht="18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  <c r="DB916" s="26"/>
      <c r="DC916" s="26"/>
      <c r="DD916" s="26"/>
      <c r="DE916" s="26"/>
      <c r="DF916" s="26"/>
      <c r="DG916" s="26"/>
      <c r="DH916" s="26"/>
      <c r="DI916" s="26"/>
      <c r="DJ916" s="26"/>
      <c r="DK916" s="26"/>
      <c r="DL916" s="26"/>
      <c r="DM916" s="26"/>
      <c r="DN916" s="26"/>
      <c r="DO916" s="26"/>
      <c r="DP916" s="26"/>
      <c r="DQ916" s="26"/>
      <c r="DR916" s="26"/>
      <c r="DS916" s="26"/>
      <c r="DT916" s="26"/>
      <c r="DU916" s="26"/>
      <c r="DV916" s="26"/>
      <c r="DW916" s="26"/>
      <c r="DX916" s="26"/>
      <c r="DY916" s="26"/>
      <c r="DZ916" s="26"/>
      <c r="EA916" s="26"/>
      <c r="EB916" s="26"/>
      <c r="EC916" s="26"/>
      <c r="ED916" s="26"/>
      <c r="EE916" s="26"/>
    </row>
    <row r="917" spans="1:135" ht="18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  <c r="DB917" s="26"/>
      <c r="DC917" s="26"/>
      <c r="DD917" s="26"/>
      <c r="DE917" s="26"/>
      <c r="DF917" s="26"/>
      <c r="DG917" s="26"/>
      <c r="DH917" s="26"/>
      <c r="DI917" s="26"/>
      <c r="DJ917" s="26"/>
      <c r="DK917" s="26"/>
      <c r="DL917" s="26"/>
      <c r="DM917" s="26"/>
      <c r="DN917" s="26"/>
      <c r="DO917" s="26"/>
      <c r="DP917" s="26"/>
      <c r="DQ917" s="26"/>
      <c r="DR917" s="26"/>
      <c r="DS917" s="26"/>
      <c r="DT917" s="26"/>
      <c r="DU917" s="26"/>
      <c r="DV917" s="26"/>
      <c r="DW917" s="26"/>
      <c r="DX917" s="26"/>
      <c r="DY917" s="26"/>
      <c r="DZ917" s="26"/>
      <c r="EA917" s="26"/>
      <c r="EB917" s="26"/>
      <c r="EC917" s="26"/>
      <c r="ED917" s="26"/>
      <c r="EE917" s="26"/>
    </row>
    <row r="918" spans="1:135" ht="18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6"/>
      <c r="DC918" s="26"/>
      <c r="DD918" s="26"/>
      <c r="DE918" s="26"/>
      <c r="DF918" s="26"/>
      <c r="DG918" s="26"/>
      <c r="DH918" s="26"/>
      <c r="DI918" s="26"/>
      <c r="DJ918" s="26"/>
      <c r="DK918" s="26"/>
      <c r="DL918" s="26"/>
      <c r="DM918" s="26"/>
      <c r="DN918" s="26"/>
      <c r="DO918" s="26"/>
      <c r="DP918" s="26"/>
      <c r="DQ918" s="26"/>
      <c r="DR918" s="26"/>
      <c r="DS918" s="26"/>
      <c r="DT918" s="26"/>
      <c r="DU918" s="26"/>
      <c r="DV918" s="26"/>
      <c r="DW918" s="26"/>
      <c r="DX918" s="26"/>
      <c r="DY918" s="26"/>
      <c r="DZ918" s="26"/>
      <c r="EA918" s="26"/>
      <c r="EB918" s="26"/>
      <c r="EC918" s="26"/>
      <c r="ED918" s="26"/>
      <c r="EE918" s="26"/>
    </row>
    <row r="919" spans="1:135" ht="18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  <c r="DB919" s="26"/>
      <c r="DC919" s="26"/>
      <c r="DD919" s="26"/>
      <c r="DE919" s="26"/>
      <c r="DF919" s="26"/>
      <c r="DG919" s="26"/>
      <c r="DH919" s="26"/>
      <c r="DI919" s="26"/>
      <c r="DJ919" s="26"/>
      <c r="DK919" s="26"/>
      <c r="DL919" s="26"/>
      <c r="DM919" s="26"/>
      <c r="DN919" s="26"/>
      <c r="DO919" s="26"/>
      <c r="DP919" s="26"/>
      <c r="DQ919" s="26"/>
      <c r="DR919" s="26"/>
      <c r="DS919" s="26"/>
      <c r="DT919" s="26"/>
      <c r="DU919" s="26"/>
      <c r="DV919" s="26"/>
      <c r="DW919" s="26"/>
      <c r="DX919" s="26"/>
      <c r="DY919" s="26"/>
      <c r="DZ919" s="26"/>
      <c r="EA919" s="26"/>
      <c r="EB919" s="26"/>
      <c r="EC919" s="26"/>
      <c r="ED919" s="26"/>
      <c r="EE919" s="26"/>
    </row>
    <row r="920" spans="1:135" ht="18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  <c r="DB920" s="26"/>
      <c r="DC920" s="26"/>
      <c r="DD920" s="26"/>
      <c r="DE920" s="26"/>
      <c r="DF920" s="26"/>
      <c r="DG920" s="26"/>
      <c r="DH920" s="26"/>
      <c r="DI920" s="26"/>
      <c r="DJ920" s="26"/>
      <c r="DK920" s="26"/>
      <c r="DL920" s="26"/>
      <c r="DM920" s="26"/>
      <c r="DN920" s="26"/>
      <c r="DO920" s="26"/>
      <c r="DP920" s="26"/>
      <c r="DQ920" s="26"/>
      <c r="DR920" s="26"/>
      <c r="DS920" s="26"/>
      <c r="DT920" s="26"/>
      <c r="DU920" s="26"/>
      <c r="DV920" s="26"/>
      <c r="DW920" s="26"/>
      <c r="DX920" s="26"/>
      <c r="DY920" s="26"/>
      <c r="DZ920" s="26"/>
      <c r="EA920" s="26"/>
      <c r="EB920" s="26"/>
      <c r="EC920" s="26"/>
      <c r="ED920" s="26"/>
      <c r="EE920" s="26"/>
    </row>
    <row r="921" spans="1:135" ht="18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  <c r="DB921" s="26"/>
      <c r="DC921" s="26"/>
      <c r="DD921" s="26"/>
      <c r="DE921" s="26"/>
      <c r="DF921" s="26"/>
      <c r="DG921" s="26"/>
      <c r="DH921" s="26"/>
      <c r="DI921" s="26"/>
      <c r="DJ921" s="26"/>
      <c r="DK921" s="26"/>
      <c r="DL921" s="26"/>
      <c r="DM921" s="26"/>
      <c r="DN921" s="26"/>
      <c r="DO921" s="26"/>
      <c r="DP921" s="26"/>
      <c r="DQ921" s="26"/>
      <c r="DR921" s="26"/>
      <c r="DS921" s="26"/>
      <c r="DT921" s="26"/>
      <c r="DU921" s="26"/>
      <c r="DV921" s="26"/>
      <c r="DW921" s="26"/>
      <c r="DX921" s="26"/>
      <c r="DY921" s="26"/>
      <c r="DZ921" s="26"/>
      <c r="EA921" s="26"/>
      <c r="EB921" s="26"/>
      <c r="EC921" s="26"/>
      <c r="ED921" s="26"/>
      <c r="EE921" s="26"/>
    </row>
    <row r="922" spans="1:135" ht="18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  <c r="DB922" s="26"/>
      <c r="DC922" s="26"/>
      <c r="DD922" s="26"/>
      <c r="DE922" s="26"/>
      <c r="DF922" s="26"/>
      <c r="DG922" s="26"/>
      <c r="DH922" s="26"/>
      <c r="DI922" s="26"/>
      <c r="DJ922" s="26"/>
      <c r="DK922" s="26"/>
      <c r="DL922" s="26"/>
      <c r="DM922" s="26"/>
      <c r="DN922" s="26"/>
      <c r="DO922" s="26"/>
      <c r="DP922" s="26"/>
      <c r="DQ922" s="26"/>
      <c r="DR922" s="26"/>
      <c r="DS922" s="26"/>
      <c r="DT922" s="26"/>
      <c r="DU922" s="26"/>
      <c r="DV922" s="26"/>
      <c r="DW922" s="26"/>
      <c r="DX922" s="26"/>
      <c r="DY922" s="26"/>
      <c r="DZ922" s="26"/>
      <c r="EA922" s="26"/>
      <c r="EB922" s="26"/>
      <c r="EC922" s="26"/>
      <c r="ED922" s="26"/>
      <c r="EE922" s="26"/>
    </row>
    <row r="923" spans="1:135" ht="18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  <c r="DB923" s="26"/>
      <c r="DC923" s="26"/>
      <c r="DD923" s="26"/>
      <c r="DE923" s="26"/>
      <c r="DF923" s="26"/>
      <c r="DG923" s="26"/>
      <c r="DH923" s="26"/>
      <c r="DI923" s="26"/>
      <c r="DJ923" s="26"/>
      <c r="DK923" s="26"/>
      <c r="DL923" s="26"/>
      <c r="DM923" s="26"/>
      <c r="DN923" s="26"/>
      <c r="DO923" s="26"/>
      <c r="DP923" s="26"/>
      <c r="DQ923" s="26"/>
      <c r="DR923" s="26"/>
      <c r="DS923" s="26"/>
      <c r="DT923" s="26"/>
      <c r="DU923" s="26"/>
      <c r="DV923" s="26"/>
      <c r="DW923" s="26"/>
      <c r="DX923" s="26"/>
      <c r="DY923" s="26"/>
      <c r="DZ923" s="26"/>
      <c r="EA923" s="26"/>
      <c r="EB923" s="26"/>
      <c r="EC923" s="26"/>
      <c r="ED923" s="26"/>
      <c r="EE923" s="26"/>
    </row>
    <row r="924" spans="1:135" ht="18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  <c r="DB924" s="26"/>
      <c r="DC924" s="26"/>
      <c r="DD924" s="26"/>
      <c r="DE924" s="26"/>
      <c r="DF924" s="26"/>
      <c r="DG924" s="26"/>
      <c r="DH924" s="26"/>
      <c r="DI924" s="26"/>
      <c r="DJ924" s="26"/>
      <c r="DK924" s="26"/>
      <c r="DL924" s="26"/>
      <c r="DM924" s="26"/>
      <c r="DN924" s="26"/>
      <c r="DO924" s="26"/>
      <c r="DP924" s="26"/>
      <c r="DQ924" s="26"/>
      <c r="DR924" s="26"/>
      <c r="DS924" s="26"/>
      <c r="DT924" s="26"/>
      <c r="DU924" s="26"/>
      <c r="DV924" s="26"/>
      <c r="DW924" s="26"/>
      <c r="DX924" s="26"/>
      <c r="DY924" s="26"/>
      <c r="DZ924" s="26"/>
      <c r="EA924" s="26"/>
      <c r="EB924" s="26"/>
      <c r="EC924" s="26"/>
      <c r="ED924" s="26"/>
      <c r="EE924" s="26"/>
    </row>
    <row r="925" spans="1:135" ht="18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  <c r="CZ925" s="26"/>
      <c r="DA925" s="26"/>
      <c r="DB925" s="26"/>
      <c r="DC925" s="26"/>
      <c r="DD925" s="26"/>
      <c r="DE925" s="26"/>
      <c r="DF925" s="26"/>
      <c r="DG925" s="26"/>
      <c r="DH925" s="26"/>
      <c r="DI925" s="26"/>
      <c r="DJ925" s="26"/>
      <c r="DK925" s="26"/>
      <c r="DL925" s="26"/>
      <c r="DM925" s="26"/>
      <c r="DN925" s="26"/>
      <c r="DO925" s="26"/>
      <c r="DP925" s="26"/>
      <c r="DQ925" s="26"/>
      <c r="DR925" s="26"/>
      <c r="DS925" s="26"/>
      <c r="DT925" s="26"/>
      <c r="DU925" s="26"/>
      <c r="DV925" s="26"/>
      <c r="DW925" s="26"/>
      <c r="DX925" s="26"/>
      <c r="DY925" s="26"/>
      <c r="DZ925" s="26"/>
      <c r="EA925" s="26"/>
      <c r="EB925" s="26"/>
      <c r="EC925" s="26"/>
      <c r="ED925" s="26"/>
      <c r="EE925" s="26"/>
    </row>
    <row r="926" spans="1:135" ht="18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  <c r="DB926" s="26"/>
      <c r="DC926" s="26"/>
      <c r="DD926" s="26"/>
      <c r="DE926" s="26"/>
      <c r="DF926" s="26"/>
      <c r="DG926" s="26"/>
      <c r="DH926" s="26"/>
      <c r="DI926" s="26"/>
      <c r="DJ926" s="26"/>
      <c r="DK926" s="26"/>
      <c r="DL926" s="26"/>
      <c r="DM926" s="26"/>
      <c r="DN926" s="26"/>
      <c r="DO926" s="26"/>
      <c r="DP926" s="26"/>
      <c r="DQ926" s="26"/>
      <c r="DR926" s="26"/>
      <c r="DS926" s="26"/>
      <c r="DT926" s="26"/>
      <c r="DU926" s="26"/>
      <c r="DV926" s="26"/>
      <c r="DW926" s="26"/>
      <c r="DX926" s="26"/>
      <c r="DY926" s="26"/>
      <c r="DZ926" s="26"/>
      <c r="EA926" s="26"/>
      <c r="EB926" s="26"/>
      <c r="EC926" s="26"/>
      <c r="ED926" s="26"/>
      <c r="EE926" s="26"/>
    </row>
    <row r="927" spans="1:135" ht="18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  <c r="CZ927" s="26"/>
      <c r="DA927" s="26"/>
      <c r="DB927" s="26"/>
      <c r="DC927" s="26"/>
      <c r="DD927" s="26"/>
      <c r="DE927" s="26"/>
      <c r="DF927" s="26"/>
      <c r="DG927" s="26"/>
      <c r="DH927" s="26"/>
      <c r="DI927" s="26"/>
      <c r="DJ927" s="26"/>
      <c r="DK927" s="26"/>
      <c r="DL927" s="26"/>
      <c r="DM927" s="26"/>
      <c r="DN927" s="26"/>
      <c r="DO927" s="26"/>
      <c r="DP927" s="26"/>
      <c r="DQ927" s="26"/>
      <c r="DR927" s="26"/>
      <c r="DS927" s="26"/>
      <c r="DT927" s="26"/>
      <c r="DU927" s="26"/>
      <c r="DV927" s="26"/>
      <c r="DW927" s="26"/>
      <c r="DX927" s="26"/>
      <c r="DY927" s="26"/>
      <c r="DZ927" s="26"/>
      <c r="EA927" s="26"/>
      <c r="EB927" s="26"/>
      <c r="EC927" s="26"/>
      <c r="ED927" s="26"/>
      <c r="EE927" s="26"/>
    </row>
    <row r="928" spans="1:135" ht="18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  <c r="DB928" s="26"/>
      <c r="DC928" s="26"/>
      <c r="DD928" s="26"/>
      <c r="DE928" s="26"/>
      <c r="DF928" s="26"/>
      <c r="DG928" s="26"/>
      <c r="DH928" s="26"/>
      <c r="DI928" s="26"/>
      <c r="DJ928" s="26"/>
      <c r="DK928" s="26"/>
      <c r="DL928" s="26"/>
      <c r="DM928" s="26"/>
      <c r="DN928" s="26"/>
      <c r="DO928" s="26"/>
      <c r="DP928" s="26"/>
      <c r="DQ928" s="26"/>
      <c r="DR928" s="26"/>
      <c r="DS928" s="26"/>
      <c r="DT928" s="26"/>
      <c r="DU928" s="26"/>
      <c r="DV928" s="26"/>
      <c r="DW928" s="26"/>
      <c r="DX928" s="26"/>
      <c r="DY928" s="26"/>
      <c r="DZ928" s="26"/>
      <c r="EA928" s="26"/>
      <c r="EB928" s="26"/>
      <c r="EC928" s="26"/>
      <c r="ED928" s="26"/>
      <c r="EE928" s="26"/>
    </row>
    <row r="929" spans="1:135" ht="18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  <c r="DB929" s="26"/>
      <c r="DC929" s="26"/>
      <c r="DD929" s="26"/>
      <c r="DE929" s="26"/>
      <c r="DF929" s="26"/>
      <c r="DG929" s="26"/>
      <c r="DH929" s="26"/>
      <c r="DI929" s="26"/>
      <c r="DJ929" s="26"/>
      <c r="DK929" s="26"/>
      <c r="DL929" s="26"/>
      <c r="DM929" s="26"/>
      <c r="DN929" s="26"/>
      <c r="DO929" s="26"/>
      <c r="DP929" s="26"/>
      <c r="DQ929" s="26"/>
      <c r="DR929" s="26"/>
      <c r="DS929" s="26"/>
      <c r="DT929" s="26"/>
      <c r="DU929" s="26"/>
      <c r="DV929" s="26"/>
      <c r="DW929" s="26"/>
      <c r="DX929" s="26"/>
      <c r="DY929" s="26"/>
      <c r="DZ929" s="26"/>
      <c r="EA929" s="26"/>
      <c r="EB929" s="26"/>
      <c r="EC929" s="26"/>
      <c r="ED929" s="26"/>
      <c r="EE929" s="26"/>
    </row>
    <row r="930" spans="1:135" ht="18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  <c r="DB930" s="26"/>
      <c r="DC930" s="26"/>
      <c r="DD930" s="26"/>
      <c r="DE930" s="26"/>
      <c r="DF930" s="26"/>
      <c r="DG930" s="26"/>
      <c r="DH930" s="26"/>
      <c r="DI930" s="26"/>
      <c r="DJ930" s="26"/>
      <c r="DK930" s="26"/>
      <c r="DL930" s="26"/>
      <c r="DM930" s="26"/>
      <c r="DN930" s="26"/>
      <c r="DO930" s="26"/>
      <c r="DP930" s="26"/>
      <c r="DQ930" s="26"/>
      <c r="DR930" s="26"/>
      <c r="DS930" s="26"/>
      <c r="DT930" s="26"/>
      <c r="DU930" s="26"/>
      <c r="DV930" s="26"/>
      <c r="DW930" s="26"/>
      <c r="DX930" s="26"/>
      <c r="DY930" s="26"/>
      <c r="DZ930" s="26"/>
      <c r="EA930" s="26"/>
      <c r="EB930" s="26"/>
      <c r="EC930" s="26"/>
      <c r="ED930" s="26"/>
      <c r="EE930" s="26"/>
    </row>
    <row r="931" spans="1:135" ht="18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  <c r="DB931" s="26"/>
      <c r="DC931" s="26"/>
      <c r="DD931" s="26"/>
      <c r="DE931" s="26"/>
      <c r="DF931" s="26"/>
      <c r="DG931" s="26"/>
      <c r="DH931" s="26"/>
      <c r="DI931" s="26"/>
      <c r="DJ931" s="26"/>
      <c r="DK931" s="26"/>
      <c r="DL931" s="26"/>
      <c r="DM931" s="26"/>
      <c r="DN931" s="26"/>
      <c r="DO931" s="26"/>
      <c r="DP931" s="26"/>
      <c r="DQ931" s="26"/>
      <c r="DR931" s="26"/>
      <c r="DS931" s="26"/>
      <c r="DT931" s="26"/>
      <c r="DU931" s="26"/>
      <c r="DV931" s="26"/>
      <c r="DW931" s="26"/>
      <c r="DX931" s="26"/>
      <c r="DY931" s="26"/>
      <c r="DZ931" s="26"/>
      <c r="EA931" s="26"/>
      <c r="EB931" s="26"/>
      <c r="EC931" s="26"/>
      <c r="ED931" s="26"/>
      <c r="EE931" s="26"/>
    </row>
    <row r="932" spans="1:135" ht="18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  <c r="DB932" s="26"/>
      <c r="DC932" s="26"/>
      <c r="DD932" s="26"/>
      <c r="DE932" s="26"/>
      <c r="DF932" s="26"/>
      <c r="DG932" s="26"/>
      <c r="DH932" s="26"/>
      <c r="DI932" s="26"/>
      <c r="DJ932" s="26"/>
      <c r="DK932" s="26"/>
      <c r="DL932" s="26"/>
      <c r="DM932" s="26"/>
      <c r="DN932" s="26"/>
      <c r="DO932" s="26"/>
      <c r="DP932" s="26"/>
      <c r="DQ932" s="26"/>
      <c r="DR932" s="26"/>
      <c r="DS932" s="26"/>
      <c r="DT932" s="26"/>
      <c r="DU932" s="26"/>
      <c r="DV932" s="26"/>
      <c r="DW932" s="26"/>
      <c r="DX932" s="26"/>
      <c r="DY932" s="26"/>
      <c r="DZ932" s="26"/>
      <c r="EA932" s="26"/>
      <c r="EB932" s="26"/>
      <c r="EC932" s="26"/>
      <c r="ED932" s="26"/>
      <c r="EE932" s="26"/>
    </row>
    <row r="933" spans="1:135" ht="18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  <c r="CZ933" s="26"/>
      <c r="DA933" s="26"/>
      <c r="DB933" s="26"/>
      <c r="DC933" s="26"/>
      <c r="DD933" s="26"/>
      <c r="DE933" s="26"/>
      <c r="DF933" s="26"/>
      <c r="DG933" s="26"/>
      <c r="DH933" s="26"/>
      <c r="DI933" s="26"/>
      <c r="DJ933" s="26"/>
      <c r="DK933" s="26"/>
      <c r="DL933" s="26"/>
      <c r="DM933" s="26"/>
      <c r="DN933" s="26"/>
      <c r="DO933" s="26"/>
      <c r="DP933" s="26"/>
      <c r="DQ933" s="26"/>
      <c r="DR933" s="26"/>
      <c r="DS933" s="26"/>
      <c r="DT933" s="26"/>
      <c r="DU933" s="26"/>
      <c r="DV933" s="26"/>
      <c r="DW933" s="26"/>
      <c r="DX933" s="26"/>
      <c r="DY933" s="26"/>
      <c r="DZ933" s="26"/>
      <c r="EA933" s="26"/>
      <c r="EB933" s="26"/>
      <c r="EC933" s="26"/>
      <c r="ED933" s="26"/>
      <c r="EE933" s="26"/>
    </row>
    <row r="934" spans="1:135" ht="18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  <c r="DB934" s="26"/>
      <c r="DC934" s="26"/>
      <c r="DD934" s="26"/>
      <c r="DE934" s="26"/>
      <c r="DF934" s="26"/>
      <c r="DG934" s="26"/>
      <c r="DH934" s="26"/>
      <c r="DI934" s="26"/>
      <c r="DJ934" s="26"/>
      <c r="DK934" s="26"/>
      <c r="DL934" s="26"/>
      <c r="DM934" s="26"/>
      <c r="DN934" s="26"/>
      <c r="DO934" s="26"/>
      <c r="DP934" s="26"/>
      <c r="DQ934" s="26"/>
      <c r="DR934" s="26"/>
      <c r="DS934" s="26"/>
      <c r="DT934" s="26"/>
      <c r="DU934" s="26"/>
      <c r="DV934" s="26"/>
      <c r="DW934" s="26"/>
      <c r="DX934" s="26"/>
      <c r="DY934" s="26"/>
      <c r="DZ934" s="26"/>
      <c r="EA934" s="26"/>
      <c r="EB934" s="26"/>
      <c r="EC934" s="26"/>
      <c r="ED934" s="26"/>
      <c r="EE934" s="26"/>
    </row>
    <row r="935" spans="1:135" ht="18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  <c r="CZ935" s="26"/>
      <c r="DA935" s="26"/>
      <c r="DB935" s="26"/>
      <c r="DC935" s="26"/>
      <c r="DD935" s="26"/>
      <c r="DE935" s="26"/>
      <c r="DF935" s="26"/>
      <c r="DG935" s="26"/>
      <c r="DH935" s="26"/>
      <c r="DI935" s="26"/>
      <c r="DJ935" s="26"/>
      <c r="DK935" s="26"/>
      <c r="DL935" s="26"/>
      <c r="DM935" s="26"/>
      <c r="DN935" s="26"/>
      <c r="DO935" s="26"/>
      <c r="DP935" s="26"/>
      <c r="DQ935" s="26"/>
      <c r="DR935" s="26"/>
      <c r="DS935" s="26"/>
      <c r="DT935" s="26"/>
      <c r="DU935" s="26"/>
      <c r="DV935" s="26"/>
      <c r="DW935" s="26"/>
      <c r="DX935" s="26"/>
      <c r="DY935" s="26"/>
      <c r="DZ935" s="26"/>
      <c r="EA935" s="26"/>
      <c r="EB935" s="26"/>
      <c r="EC935" s="26"/>
      <c r="ED935" s="26"/>
      <c r="EE935" s="26"/>
    </row>
    <row r="936" spans="1:135" ht="18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  <c r="DB936" s="26"/>
      <c r="DC936" s="26"/>
      <c r="DD936" s="26"/>
      <c r="DE936" s="26"/>
      <c r="DF936" s="26"/>
      <c r="DG936" s="26"/>
      <c r="DH936" s="26"/>
      <c r="DI936" s="26"/>
      <c r="DJ936" s="26"/>
      <c r="DK936" s="26"/>
      <c r="DL936" s="26"/>
      <c r="DM936" s="26"/>
      <c r="DN936" s="26"/>
      <c r="DO936" s="26"/>
      <c r="DP936" s="26"/>
      <c r="DQ936" s="26"/>
      <c r="DR936" s="26"/>
      <c r="DS936" s="26"/>
      <c r="DT936" s="26"/>
      <c r="DU936" s="26"/>
      <c r="DV936" s="26"/>
      <c r="DW936" s="26"/>
      <c r="DX936" s="26"/>
      <c r="DY936" s="26"/>
      <c r="DZ936" s="26"/>
      <c r="EA936" s="26"/>
      <c r="EB936" s="26"/>
      <c r="EC936" s="26"/>
      <c r="ED936" s="26"/>
      <c r="EE936" s="26"/>
    </row>
    <row r="937" spans="1:135" ht="18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  <c r="CZ937" s="26"/>
      <c r="DA937" s="26"/>
      <c r="DB937" s="26"/>
      <c r="DC937" s="26"/>
      <c r="DD937" s="26"/>
      <c r="DE937" s="26"/>
      <c r="DF937" s="26"/>
      <c r="DG937" s="26"/>
      <c r="DH937" s="26"/>
      <c r="DI937" s="26"/>
      <c r="DJ937" s="26"/>
      <c r="DK937" s="26"/>
      <c r="DL937" s="26"/>
      <c r="DM937" s="26"/>
      <c r="DN937" s="26"/>
      <c r="DO937" s="26"/>
      <c r="DP937" s="26"/>
      <c r="DQ937" s="26"/>
      <c r="DR937" s="26"/>
      <c r="DS937" s="26"/>
      <c r="DT937" s="26"/>
      <c r="DU937" s="26"/>
      <c r="DV937" s="26"/>
      <c r="DW937" s="26"/>
      <c r="DX937" s="26"/>
      <c r="DY937" s="26"/>
      <c r="DZ937" s="26"/>
      <c r="EA937" s="26"/>
      <c r="EB937" s="26"/>
      <c r="EC937" s="26"/>
      <c r="ED937" s="26"/>
      <c r="EE937" s="26"/>
    </row>
    <row r="938" spans="1:135" ht="18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  <c r="CZ938" s="26"/>
      <c r="DA938" s="26"/>
      <c r="DB938" s="26"/>
      <c r="DC938" s="26"/>
      <c r="DD938" s="26"/>
      <c r="DE938" s="26"/>
      <c r="DF938" s="26"/>
      <c r="DG938" s="26"/>
      <c r="DH938" s="26"/>
      <c r="DI938" s="26"/>
      <c r="DJ938" s="26"/>
      <c r="DK938" s="26"/>
      <c r="DL938" s="26"/>
      <c r="DM938" s="26"/>
      <c r="DN938" s="26"/>
      <c r="DO938" s="26"/>
      <c r="DP938" s="26"/>
      <c r="DQ938" s="26"/>
      <c r="DR938" s="26"/>
      <c r="DS938" s="26"/>
      <c r="DT938" s="26"/>
      <c r="DU938" s="26"/>
      <c r="DV938" s="26"/>
      <c r="DW938" s="26"/>
      <c r="DX938" s="26"/>
      <c r="DY938" s="26"/>
      <c r="DZ938" s="26"/>
      <c r="EA938" s="26"/>
      <c r="EB938" s="26"/>
      <c r="EC938" s="26"/>
      <c r="ED938" s="26"/>
      <c r="EE938" s="26"/>
    </row>
    <row r="939" spans="1:135" ht="18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  <c r="CZ939" s="26"/>
      <c r="DA939" s="26"/>
      <c r="DB939" s="26"/>
      <c r="DC939" s="26"/>
      <c r="DD939" s="26"/>
      <c r="DE939" s="26"/>
      <c r="DF939" s="26"/>
      <c r="DG939" s="26"/>
      <c r="DH939" s="26"/>
      <c r="DI939" s="26"/>
      <c r="DJ939" s="26"/>
      <c r="DK939" s="26"/>
      <c r="DL939" s="26"/>
      <c r="DM939" s="26"/>
      <c r="DN939" s="26"/>
      <c r="DO939" s="26"/>
      <c r="DP939" s="26"/>
      <c r="DQ939" s="26"/>
      <c r="DR939" s="26"/>
      <c r="DS939" s="26"/>
      <c r="DT939" s="26"/>
      <c r="DU939" s="26"/>
      <c r="DV939" s="26"/>
      <c r="DW939" s="26"/>
      <c r="DX939" s="26"/>
      <c r="DY939" s="26"/>
      <c r="DZ939" s="26"/>
      <c r="EA939" s="26"/>
      <c r="EB939" s="26"/>
      <c r="EC939" s="26"/>
      <c r="ED939" s="26"/>
      <c r="EE939" s="26"/>
    </row>
    <row r="940" spans="1:135" ht="18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  <c r="DB940" s="26"/>
      <c r="DC940" s="26"/>
      <c r="DD940" s="26"/>
      <c r="DE940" s="26"/>
      <c r="DF940" s="26"/>
      <c r="DG940" s="26"/>
      <c r="DH940" s="26"/>
      <c r="DI940" s="26"/>
      <c r="DJ940" s="26"/>
      <c r="DK940" s="26"/>
      <c r="DL940" s="26"/>
      <c r="DM940" s="26"/>
      <c r="DN940" s="26"/>
      <c r="DO940" s="26"/>
      <c r="DP940" s="26"/>
      <c r="DQ940" s="26"/>
      <c r="DR940" s="26"/>
      <c r="DS940" s="26"/>
      <c r="DT940" s="26"/>
      <c r="DU940" s="26"/>
      <c r="DV940" s="26"/>
      <c r="DW940" s="26"/>
      <c r="DX940" s="26"/>
      <c r="DY940" s="26"/>
      <c r="DZ940" s="26"/>
      <c r="EA940" s="26"/>
      <c r="EB940" s="26"/>
      <c r="EC940" s="26"/>
      <c r="ED940" s="26"/>
      <c r="EE940" s="26"/>
    </row>
    <row r="941" spans="1:135" ht="18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  <c r="CZ941" s="26"/>
      <c r="DA941" s="26"/>
      <c r="DB941" s="26"/>
      <c r="DC941" s="26"/>
      <c r="DD941" s="26"/>
      <c r="DE941" s="26"/>
      <c r="DF941" s="26"/>
      <c r="DG941" s="26"/>
      <c r="DH941" s="26"/>
      <c r="DI941" s="26"/>
      <c r="DJ941" s="26"/>
      <c r="DK941" s="26"/>
      <c r="DL941" s="26"/>
      <c r="DM941" s="26"/>
      <c r="DN941" s="26"/>
      <c r="DO941" s="26"/>
      <c r="DP941" s="26"/>
      <c r="DQ941" s="26"/>
      <c r="DR941" s="26"/>
      <c r="DS941" s="26"/>
      <c r="DT941" s="26"/>
      <c r="DU941" s="26"/>
      <c r="DV941" s="26"/>
      <c r="DW941" s="26"/>
      <c r="DX941" s="26"/>
      <c r="DY941" s="26"/>
      <c r="DZ941" s="26"/>
      <c r="EA941" s="26"/>
      <c r="EB941" s="26"/>
      <c r="EC941" s="26"/>
      <c r="ED941" s="26"/>
      <c r="EE941" s="26"/>
    </row>
    <row r="942" spans="1:135" ht="18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  <c r="DB942" s="26"/>
      <c r="DC942" s="26"/>
      <c r="DD942" s="26"/>
      <c r="DE942" s="26"/>
      <c r="DF942" s="26"/>
      <c r="DG942" s="26"/>
      <c r="DH942" s="26"/>
      <c r="DI942" s="26"/>
      <c r="DJ942" s="26"/>
      <c r="DK942" s="26"/>
      <c r="DL942" s="26"/>
      <c r="DM942" s="26"/>
      <c r="DN942" s="26"/>
      <c r="DO942" s="26"/>
      <c r="DP942" s="26"/>
      <c r="DQ942" s="26"/>
      <c r="DR942" s="26"/>
      <c r="DS942" s="26"/>
      <c r="DT942" s="26"/>
      <c r="DU942" s="26"/>
      <c r="DV942" s="26"/>
      <c r="DW942" s="26"/>
      <c r="DX942" s="26"/>
      <c r="DY942" s="26"/>
      <c r="DZ942" s="26"/>
      <c r="EA942" s="26"/>
      <c r="EB942" s="26"/>
      <c r="EC942" s="26"/>
      <c r="ED942" s="26"/>
      <c r="EE942" s="26"/>
    </row>
    <row r="943" spans="1:135" ht="18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  <c r="CZ943" s="26"/>
      <c r="DA943" s="26"/>
      <c r="DB943" s="26"/>
      <c r="DC943" s="26"/>
      <c r="DD943" s="26"/>
      <c r="DE943" s="26"/>
      <c r="DF943" s="26"/>
      <c r="DG943" s="26"/>
      <c r="DH943" s="26"/>
      <c r="DI943" s="26"/>
      <c r="DJ943" s="26"/>
      <c r="DK943" s="26"/>
      <c r="DL943" s="26"/>
      <c r="DM943" s="26"/>
      <c r="DN943" s="26"/>
      <c r="DO943" s="26"/>
      <c r="DP943" s="26"/>
      <c r="DQ943" s="26"/>
      <c r="DR943" s="26"/>
      <c r="DS943" s="26"/>
      <c r="DT943" s="26"/>
      <c r="DU943" s="26"/>
      <c r="DV943" s="26"/>
      <c r="DW943" s="26"/>
      <c r="DX943" s="26"/>
      <c r="DY943" s="26"/>
      <c r="DZ943" s="26"/>
      <c r="EA943" s="26"/>
      <c r="EB943" s="26"/>
      <c r="EC943" s="26"/>
      <c r="ED943" s="26"/>
      <c r="EE943" s="26"/>
    </row>
    <row r="944" spans="1:135" ht="18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  <c r="CZ944" s="26"/>
      <c r="DA944" s="26"/>
      <c r="DB944" s="26"/>
      <c r="DC944" s="26"/>
      <c r="DD944" s="26"/>
      <c r="DE944" s="26"/>
      <c r="DF944" s="26"/>
      <c r="DG944" s="26"/>
      <c r="DH944" s="26"/>
      <c r="DI944" s="26"/>
      <c r="DJ944" s="26"/>
      <c r="DK944" s="26"/>
      <c r="DL944" s="26"/>
      <c r="DM944" s="26"/>
      <c r="DN944" s="26"/>
      <c r="DO944" s="26"/>
      <c r="DP944" s="26"/>
      <c r="DQ944" s="26"/>
      <c r="DR944" s="26"/>
      <c r="DS944" s="26"/>
      <c r="DT944" s="26"/>
      <c r="DU944" s="26"/>
      <c r="DV944" s="26"/>
      <c r="DW944" s="26"/>
      <c r="DX944" s="26"/>
      <c r="DY944" s="26"/>
      <c r="DZ944" s="26"/>
      <c r="EA944" s="26"/>
      <c r="EB944" s="26"/>
      <c r="EC944" s="26"/>
      <c r="ED944" s="26"/>
      <c r="EE944" s="26"/>
    </row>
    <row r="945" spans="1:135" ht="18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  <c r="CZ945" s="26"/>
      <c r="DA945" s="26"/>
      <c r="DB945" s="26"/>
      <c r="DC945" s="26"/>
      <c r="DD945" s="26"/>
      <c r="DE945" s="26"/>
      <c r="DF945" s="26"/>
      <c r="DG945" s="26"/>
      <c r="DH945" s="26"/>
      <c r="DI945" s="26"/>
      <c r="DJ945" s="26"/>
      <c r="DK945" s="26"/>
      <c r="DL945" s="26"/>
      <c r="DM945" s="26"/>
      <c r="DN945" s="26"/>
      <c r="DO945" s="26"/>
      <c r="DP945" s="26"/>
      <c r="DQ945" s="26"/>
      <c r="DR945" s="26"/>
      <c r="DS945" s="26"/>
      <c r="DT945" s="26"/>
      <c r="DU945" s="26"/>
      <c r="DV945" s="26"/>
      <c r="DW945" s="26"/>
      <c r="DX945" s="26"/>
      <c r="DY945" s="26"/>
      <c r="DZ945" s="26"/>
      <c r="EA945" s="26"/>
      <c r="EB945" s="26"/>
      <c r="EC945" s="26"/>
      <c r="ED945" s="26"/>
      <c r="EE945" s="26"/>
    </row>
    <row r="946" spans="1:135" ht="18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  <c r="CZ946" s="26"/>
      <c r="DA946" s="26"/>
      <c r="DB946" s="26"/>
      <c r="DC946" s="26"/>
      <c r="DD946" s="26"/>
      <c r="DE946" s="26"/>
      <c r="DF946" s="26"/>
      <c r="DG946" s="26"/>
      <c r="DH946" s="26"/>
      <c r="DI946" s="26"/>
      <c r="DJ946" s="26"/>
      <c r="DK946" s="26"/>
      <c r="DL946" s="26"/>
      <c r="DM946" s="26"/>
      <c r="DN946" s="26"/>
      <c r="DO946" s="26"/>
      <c r="DP946" s="26"/>
      <c r="DQ946" s="26"/>
      <c r="DR946" s="26"/>
      <c r="DS946" s="26"/>
      <c r="DT946" s="26"/>
      <c r="DU946" s="26"/>
      <c r="DV946" s="26"/>
      <c r="DW946" s="26"/>
      <c r="DX946" s="26"/>
      <c r="DY946" s="26"/>
      <c r="DZ946" s="26"/>
      <c r="EA946" s="26"/>
      <c r="EB946" s="26"/>
      <c r="EC946" s="26"/>
      <c r="ED946" s="26"/>
      <c r="EE946" s="26"/>
    </row>
    <row r="947" spans="1:135" ht="18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  <c r="CZ947" s="26"/>
      <c r="DA947" s="26"/>
      <c r="DB947" s="26"/>
      <c r="DC947" s="26"/>
      <c r="DD947" s="26"/>
      <c r="DE947" s="26"/>
      <c r="DF947" s="26"/>
      <c r="DG947" s="26"/>
      <c r="DH947" s="26"/>
      <c r="DI947" s="26"/>
      <c r="DJ947" s="26"/>
      <c r="DK947" s="26"/>
      <c r="DL947" s="26"/>
      <c r="DM947" s="26"/>
      <c r="DN947" s="26"/>
      <c r="DO947" s="26"/>
      <c r="DP947" s="26"/>
      <c r="DQ947" s="26"/>
      <c r="DR947" s="26"/>
      <c r="DS947" s="26"/>
      <c r="DT947" s="26"/>
      <c r="DU947" s="26"/>
      <c r="DV947" s="26"/>
      <c r="DW947" s="26"/>
      <c r="DX947" s="26"/>
      <c r="DY947" s="26"/>
      <c r="DZ947" s="26"/>
      <c r="EA947" s="26"/>
      <c r="EB947" s="26"/>
      <c r="EC947" s="26"/>
      <c r="ED947" s="26"/>
      <c r="EE947" s="26"/>
    </row>
    <row r="948" spans="1:135" ht="18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  <c r="DB948" s="26"/>
      <c r="DC948" s="26"/>
      <c r="DD948" s="26"/>
      <c r="DE948" s="26"/>
      <c r="DF948" s="26"/>
      <c r="DG948" s="26"/>
      <c r="DH948" s="26"/>
      <c r="DI948" s="26"/>
      <c r="DJ948" s="26"/>
      <c r="DK948" s="26"/>
      <c r="DL948" s="26"/>
      <c r="DM948" s="26"/>
      <c r="DN948" s="26"/>
      <c r="DO948" s="26"/>
      <c r="DP948" s="26"/>
      <c r="DQ948" s="26"/>
      <c r="DR948" s="26"/>
      <c r="DS948" s="26"/>
      <c r="DT948" s="26"/>
      <c r="DU948" s="26"/>
      <c r="DV948" s="26"/>
      <c r="DW948" s="26"/>
      <c r="DX948" s="26"/>
      <c r="DY948" s="26"/>
      <c r="DZ948" s="26"/>
      <c r="EA948" s="26"/>
      <c r="EB948" s="26"/>
      <c r="EC948" s="26"/>
      <c r="ED948" s="26"/>
      <c r="EE948" s="26"/>
    </row>
    <row r="949" spans="1:135" ht="18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  <c r="CZ949" s="26"/>
      <c r="DA949" s="26"/>
      <c r="DB949" s="26"/>
      <c r="DC949" s="26"/>
      <c r="DD949" s="26"/>
      <c r="DE949" s="26"/>
      <c r="DF949" s="26"/>
      <c r="DG949" s="26"/>
      <c r="DH949" s="26"/>
      <c r="DI949" s="26"/>
      <c r="DJ949" s="26"/>
      <c r="DK949" s="26"/>
      <c r="DL949" s="26"/>
      <c r="DM949" s="26"/>
      <c r="DN949" s="26"/>
      <c r="DO949" s="26"/>
      <c r="DP949" s="26"/>
      <c r="DQ949" s="26"/>
      <c r="DR949" s="26"/>
      <c r="DS949" s="26"/>
      <c r="DT949" s="26"/>
      <c r="DU949" s="26"/>
      <c r="DV949" s="26"/>
      <c r="DW949" s="26"/>
      <c r="DX949" s="26"/>
      <c r="DY949" s="26"/>
      <c r="DZ949" s="26"/>
      <c r="EA949" s="26"/>
      <c r="EB949" s="26"/>
      <c r="EC949" s="26"/>
      <c r="ED949" s="26"/>
      <c r="EE949" s="26"/>
    </row>
    <row r="950" spans="1:135" ht="18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  <c r="DB950" s="26"/>
      <c r="DC950" s="26"/>
      <c r="DD950" s="26"/>
      <c r="DE950" s="26"/>
      <c r="DF950" s="26"/>
      <c r="DG950" s="26"/>
      <c r="DH950" s="26"/>
      <c r="DI950" s="26"/>
      <c r="DJ950" s="26"/>
      <c r="DK950" s="26"/>
      <c r="DL950" s="26"/>
      <c r="DM950" s="26"/>
      <c r="DN950" s="26"/>
      <c r="DO950" s="26"/>
      <c r="DP950" s="26"/>
      <c r="DQ950" s="26"/>
      <c r="DR950" s="26"/>
      <c r="DS950" s="26"/>
      <c r="DT950" s="26"/>
      <c r="DU950" s="26"/>
      <c r="DV950" s="26"/>
      <c r="DW950" s="26"/>
      <c r="DX950" s="26"/>
      <c r="DY950" s="26"/>
      <c r="DZ950" s="26"/>
      <c r="EA950" s="26"/>
      <c r="EB950" s="26"/>
      <c r="EC950" s="26"/>
      <c r="ED950" s="26"/>
      <c r="EE950" s="26"/>
    </row>
    <row r="951" spans="1:135" ht="18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6"/>
      <c r="DC951" s="26"/>
      <c r="DD951" s="26"/>
      <c r="DE951" s="26"/>
      <c r="DF951" s="26"/>
      <c r="DG951" s="26"/>
      <c r="DH951" s="26"/>
      <c r="DI951" s="26"/>
      <c r="DJ951" s="26"/>
      <c r="DK951" s="26"/>
      <c r="DL951" s="26"/>
      <c r="DM951" s="26"/>
      <c r="DN951" s="26"/>
      <c r="DO951" s="26"/>
      <c r="DP951" s="26"/>
      <c r="DQ951" s="26"/>
      <c r="DR951" s="26"/>
      <c r="DS951" s="26"/>
      <c r="DT951" s="26"/>
      <c r="DU951" s="26"/>
      <c r="DV951" s="26"/>
      <c r="DW951" s="26"/>
      <c r="DX951" s="26"/>
      <c r="DY951" s="26"/>
      <c r="DZ951" s="26"/>
      <c r="EA951" s="26"/>
      <c r="EB951" s="26"/>
      <c r="EC951" s="26"/>
      <c r="ED951" s="26"/>
      <c r="EE951" s="26"/>
    </row>
    <row r="952" spans="1:135" ht="18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  <c r="DB952" s="26"/>
      <c r="DC952" s="26"/>
      <c r="DD952" s="26"/>
      <c r="DE952" s="26"/>
      <c r="DF952" s="26"/>
      <c r="DG952" s="26"/>
      <c r="DH952" s="26"/>
      <c r="DI952" s="26"/>
      <c r="DJ952" s="26"/>
      <c r="DK952" s="26"/>
      <c r="DL952" s="26"/>
      <c r="DM952" s="26"/>
      <c r="DN952" s="26"/>
      <c r="DO952" s="26"/>
      <c r="DP952" s="26"/>
      <c r="DQ952" s="26"/>
      <c r="DR952" s="26"/>
      <c r="DS952" s="26"/>
      <c r="DT952" s="26"/>
      <c r="DU952" s="26"/>
      <c r="DV952" s="26"/>
      <c r="DW952" s="26"/>
      <c r="DX952" s="26"/>
      <c r="DY952" s="26"/>
      <c r="DZ952" s="26"/>
      <c r="EA952" s="26"/>
      <c r="EB952" s="26"/>
      <c r="EC952" s="26"/>
      <c r="ED952" s="26"/>
      <c r="EE952" s="26"/>
    </row>
    <row r="953" spans="1:135" ht="18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  <c r="DB953" s="26"/>
      <c r="DC953" s="26"/>
      <c r="DD953" s="26"/>
      <c r="DE953" s="26"/>
      <c r="DF953" s="26"/>
      <c r="DG953" s="26"/>
      <c r="DH953" s="26"/>
      <c r="DI953" s="26"/>
      <c r="DJ953" s="26"/>
      <c r="DK953" s="26"/>
      <c r="DL953" s="26"/>
      <c r="DM953" s="26"/>
      <c r="DN953" s="26"/>
      <c r="DO953" s="26"/>
      <c r="DP953" s="26"/>
      <c r="DQ953" s="26"/>
      <c r="DR953" s="26"/>
      <c r="DS953" s="26"/>
      <c r="DT953" s="26"/>
      <c r="DU953" s="26"/>
      <c r="DV953" s="26"/>
      <c r="DW953" s="26"/>
      <c r="DX953" s="26"/>
      <c r="DY953" s="26"/>
      <c r="DZ953" s="26"/>
      <c r="EA953" s="26"/>
      <c r="EB953" s="26"/>
      <c r="EC953" s="26"/>
      <c r="ED953" s="26"/>
      <c r="EE953" s="26"/>
    </row>
    <row r="954" spans="1:135" ht="18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  <c r="DB954" s="26"/>
      <c r="DC954" s="26"/>
      <c r="DD954" s="26"/>
      <c r="DE954" s="26"/>
      <c r="DF954" s="26"/>
      <c r="DG954" s="26"/>
      <c r="DH954" s="26"/>
      <c r="DI954" s="26"/>
      <c r="DJ954" s="26"/>
      <c r="DK954" s="26"/>
      <c r="DL954" s="26"/>
      <c r="DM954" s="26"/>
      <c r="DN954" s="26"/>
      <c r="DO954" s="26"/>
      <c r="DP954" s="26"/>
      <c r="DQ954" s="26"/>
      <c r="DR954" s="26"/>
      <c r="DS954" s="26"/>
      <c r="DT954" s="26"/>
      <c r="DU954" s="26"/>
      <c r="DV954" s="26"/>
      <c r="DW954" s="26"/>
      <c r="DX954" s="26"/>
      <c r="DY954" s="26"/>
      <c r="DZ954" s="26"/>
      <c r="EA954" s="26"/>
      <c r="EB954" s="26"/>
      <c r="EC954" s="26"/>
      <c r="ED954" s="26"/>
      <c r="EE954" s="26"/>
    </row>
    <row r="955" spans="1:135" ht="18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  <c r="DB955" s="26"/>
      <c r="DC955" s="26"/>
      <c r="DD955" s="26"/>
      <c r="DE955" s="26"/>
      <c r="DF955" s="26"/>
      <c r="DG955" s="26"/>
      <c r="DH955" s="26"/>
      <c r="DI955" s="26"/>
      <c r="DJ955" s="26"/>
      <c r="DK955" s="26"/>
      <c r="DL955" s="26"/>
      <c r="DM955" s="26"/>
      <c r="DN955" s="26"/>
      <c r="DO955" s="26"/>
      <c r="DP955" s="26"/>
      <c r="DQ955" s="26"/>
      <c r="DR955" s="26"/>
      <c r="DS955" s="26"/>
      <c r="DT955" s="26"/>
      <c r="DU955" s="26"/>
      <c r="DV955" s="26"/>
      <c r="DW955" s="26"/>
      <c r="DX955" s="26"/>
      <c r="DY955" s="26"/>
      <c r="DZ955" s="26"/>
      <c r="EA955" s="26"/>
      <c r="EB955" s="26"/>
      <c r="EC955" s="26"/>
      <c r="ED955" s="26"/>
      <c r="EE955" s="26"/>
    </row>
    <row r="956" spans="1:135" ht="18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  <c r="CZ956" s="26"/>
      <c r="DA956" s="26"/>
      <c r="DB956" s="26"/>
      <c r="DC956" s="26"/>
      <c r="DD956" s="26"/>
      <c r="DE956" s="26"/>
      <c r="DF956" s="26"/>
      <c r="DG956" s="26"/>
      <c r="DH956" s="26"/>
      <c r="DI956" s="26"/>
      <c r="DJ956" s="26"/>
      <c r="DK956" s="26"/>
      <c r="DL956" s="26"/>
      <c r="DM956" s="26"/>
      <c r="DN956" s="26"/>
      <c r="DO956" s="26"/>
      <c r="DP956" s="26"/>
      <c r="DQ956" s="26"/>
      <c r="DR956" s="26"/>
      <c r="DS956" s="26"/>
      <c r="DT956" s="26"/>
      <c r="DU956" s="26"/>
      <c r="DV956" s="26"/>
      <c r="DW956" s="26"/>
      <c r="DX956" s="26"/>
      <c r="DY956" s="26"/>
      <c r="DZ956" s="26"/>
      <c r="EA956" s="26"/>
      <c r="EB956" s="26"/>
      <c r="EC956" s="26"/>
      <c r="ED956" s="26"/>
      <c r="EE956" s="26"/>
    </row>
    <row r="957" spans="1:135" ht="18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  <c r="CZ957" s="26"/>
      <c r="DA957" s="26"/>
      <c r="DB957" s="26"/>
      <c r="DC957" s="26"/>
      <c r="DD957" s="26"/>
      <c r="DE957" s="26"/>
      <c r="DF957" s="26"/>
      <c r="DG957" s="26"/>
      <c r="DH957" s="26"/>
      <c r="DI957" s="26"/>
      <c r="DJ957" s="26"/>
      <c r="DK957" s="26"/>
      <c r="DL957" s="26"/>
      <c r="DM957" s="26"/>
      <c r="DN957" s="26"/>
      <c r="DO957" s="26"/>
      <c r="DP957" s="26"/>
      <c r="DQ957" s="26"/>
      <c r="DR957" s="26"/>
      <c r="DS957" s="26"/>
      <c r="DT957" s="26"/>
      <c r="DU957" s="26"/>
      <c r="DV957" s="26"/>
      <c r="DW957" s="26"/>
      <c r="DX957" s="26"/>
      <c r="DY957" s="26"/>
      <c r="DZ957" s="26"/>
      <c r="EA957" s="26"/>
      <c r="EB957" s="26"/>
      <c r="EC957" s="26"/>
      <c r="ED957" s="26"/>
      <c r="EE957" s="26"/>
    </row>
    <row r="958" spans="1:135" ht="18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  <c r="DB958" s="26"/>
      <c r="DC958" s="26"/>
      <c r="DD958" s="26"/>
      <c r="DE958" s="26"/>
      <c r="DF958" s="26"/>
      <c r="DG958" s="26"/>
      <c r="DH958" s="26"/>
      <c r="DI958" s="26"/>
      <c r="DJ958" s="26"/>
      <c r="DK958" s="26"/>
      <c r="DL958" s="26"/>
      <c r="DM958" s="26"/>
      <c r="DN958" s="26"/>
      <c r="DO958" s="26"/>
      <c r="DP958" s="26"/>
      <c r="DQ958" s="26"/>
      <c r="DR958" s="26"/>
      <c r="DS958" s="26"/>
      <c r="DT958" s="26"/>
      <c r="DU958" s="26"/>
      <c r="DV958" s="26"/>
      <c r="DW958" s="26"/>
      <c r="DX958" s="26"/>
      <c r="DY958" s="26"/>
      <c r="DZ958" s="26"/>
      <c r="EA958" s="26"/>
      <c r="EB958" s="26"/>
      <c r="EC958" s="26"/>
      <c r="ED958" s="26"/>
      <c r="EE958" s="26"/>
    </row>
    <row r="959" spans="1:135" ht="18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  <c r="CZ959" s="26"/>
      <c r="DA959" s="26"/>
      <c r="DB959" s="26"/>
      <c r="DC959" s="26"/>
      <c r="DD959" s="26"/>
      <c r="DE959" s="26"/>
      <c r="DF959" s="26"/>
      <c r="DG959" s="26"/>
      <c r="DH959" s="26"/>
      <c r="DI959" s="26"/>
      <c r="DJ959" s="26"/>
      <c r="DK959" s="26"/>
      <c r="DL959" s="26"/>
      <c r="DM959" s="26"/>
      <c r="DN959" s="26"/>
      <c r="DO959" s="26"/>
      <c r="DP959" s="26"/>
      <c r="DQ959" s="26"/>
      <c r="DR959" s="26"/>
      <c r="DS959" s="26"/>
      <c r="DT959" s="26"/>
      <c r="DU959" s="26"/>
      <c r="DV959" s="26"/>
      <c r="DW959" s="26"/>
      <c r="DX959" s="26"/>
      <c r="DY959" s="26"/>
      <c r="DZ959" s="26"/>
      <c r="EA959" s="26"/>
      <c r="EB959" s="26"/>
      <c r="EC959" s="26"/>
      <c r="ED959" s="26"/>
      <c r="EE959" s="26"/>
    </row>
    <row r="960" spans="1:135" ht="18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  <c r="CZ960" s="26"/>
      <c r="DA960" s="26"/>
      <c r="DB960" s="26"/>
      <c r="DC960" s="26"/>
      <c r="DD960" s="26"/>
      <c r="DE960" s="26"/>
      <c r="DF960" s="26"/>
      <c r="DG960" s="26"/>
      <c r="DH960" s="26"/>
      <c r="DI960" s="26"/>
      <c r="DJ960" s="26"/>
      <c r="DK960" s="26"/>
      <c r="DL960" s="26"/>
      <c r="DM960" s="26"/>
      <c r="DN960" s="26"/>
      <c r="DO960" s="26"/>
      <c r="DP960" s="26"/>
      <c r="DQ960" s="26"/>
      <c r="DR960" s="26"/>
      <c r="DS960" s="26"/>
      <c r="DT960" s="26"/>
      <c r="DU960" s="26"/>
      <c r="DV960" s="26"/>
      <c r="DW960" s="26"/>
      <c r="DX960" s="26"/>
      <c r="DY960" s="26"/>
      <c r="DZ960" s="26"/>
      <c r="EA960" s="26"/>
      <c r="EB960" s="26"/>
      <c r="EC960" s="26"/>
      <c r="ED960" s="26"/>
      <c r="EE960" s="26"/>
    </row>
    <row r="961" spans="1:135" ht="18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  <c r="CZ961" s="26"/>
      <c r="DA961" s="26"/>
      <c r="DB961" s="26"/>
      <c r="DC961" s="26"/>
      <c r="DD961" s="26"/>
      <c r="DE961" s="26"/>
      <c r="DF961" s="26"/>
      <c r="DG961" s="26"/>
      <c r="DH961" s="26"/>
      <c r="DI961" s="26"/>
      <c r="DJ961" s="26"/>
      <c r="DK961" s="26"/>
      <c r="DL961" s="26"/>
      <c r="DM961" s="26"/>
      <c r="DN961" s="26"/>
      <c r="DO961" s="26"/>
      <c r="DP961" s="26"/>
      <c r="DQ961" s="26"/>
      <c r="DR961" s="26"/>
      <c r="DS961" s="26"/>
      <c r="DT961" s="26"/>
      <c r="DU961" s="26"/>
      <c r="DV961" s="26"/>
      <c r="DW961" s="26"/>
      <c r="DX961" s="26"/>
      <c r="DY961" s="26"/>
      <c r="DZ961" s="26"/>
      <c r="EA961" s="26"/>
      <c r="EB961" s="26"/>
      <c r="EC961" s="26"/>
      <c r="ED961" s="26"/>
      <c r="EE961" s="26"/>
    </row>
    <row r="962" spans="1:135" ht="18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  <c r="CZ962" s="26"/>
      <c r="DA962" s="26"/>
      <c r="DB962" s="26"/>
      <c r="DC962" s="26"/>
      <c r="DD962" s="26"/>
      <c r="DE962" s="26"/>
      <c r="DF962" s="26"/>
      <c r="DG962" s="26"/>
      <c r="DH962" s="26"/>
      <c r="DI962" s="26"/>
      <c r="DJ962" s="26"/>
      <c r="DK962" s="26"/>
      <c r="DL962" s="26"/>
      <c r="DM962" s="26"/>
      <c r="DN962" s="26"/>
      <c r="DO962" s="26"/>
      <c r="DP962" s="26"/>
      <c r="DQ962" s="26"/>
      <c r="DR962" s="26"/>
      <c r="DS962" s="26"/>
      <c r="DT962" s="26"/>
      <c r="DU962" s="26"/>
      <c r="DV962" s="26"/>
      <c r="DW962" s="26"/>
      <c r="DX962" s="26"/>
      <c r="DY962" s="26"/>
      <c r="DZ962" s="26"/>
      <c r="EA962" s="26"/>
      <c r="EB962" s="26"/>
      <c r="EC962" s="26"/>
      <c r="ED962" s="26"/>
      <c r="EE962" s="26"/>
    </row>
    <row r="963" spans="1:135" ht="18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  <c r="DB963" s="26"/>
      <c r="DC963" s="26"/>
      <c r="DD963" s="26"/>
      <c r="DE963" s="26"/>
      <c r="DF963" s="26"/>
      <c r="DG963" s="26"/>
      <c r="DH963" s="26"/>
      <c r="DI963" s="26"/>
      <c r="DJ963" s="26"/>
      <c r="DK963" s="26"/>
      <c r="DL963" s="26"/>
      <c r="DM963" s="26"/>
      <c r="DN963" s="26"/>
      <c r="DO963" s="26"/>
      <c r="DP963" s="26"/>
      <c r="DQ963" s="26"/>
      <c r="DR963" s="26"/>
      <c r="DS963" s="26"/>
      <c r="DT963" s="26"/>
      <c r="DU963" s="26"/>
      <c r="DV963" s="26"/>
      <c r="DW963" s="26"/>
      <c r="DX963" s="26"/>
      <c r="DY963" s="26"/>
      <c r="DZ963" s="26"/>
      <c r="EA963" s="26"/>
      <c r="EB963" s="26"/>
      <c r="EC963" s="26"/>
      <c r="ED963" s="26"/>
      <c r="EE963" s="26"/>
    </row>
    <row r="964" spans="1:135" ht="18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  <c r="CZ964" s="26"/>
      <c r="DA964" s="26"/>
      <c r="DB964" s="26"/>
      <c r="DC964" s="26"/>
      <c r="DD964" s="26"/>
      <c r="DE964" s="26"/>
      <c r="DF964" s="26"/>
      <c r="DG964" s="26"/>
      <c r="DH964" s="26"/>
      <c r="DI964" s="26"/>
      <c r="DJ964" s="26"/>
      <c r="DK964" s="26"/>
      <c r="DL964" s="26"/>
      <c r="DM964" s="26"/>
      <c r="DN964" s="26"/>
      <c r="DO964" s="26"/>
      <c r="DP964" s="26"/>
      <c r="DQ964" s="26"/>
      <c r="DR964" s="26"/>
      <c r="DS964" s="26"/>
      <c r="DT964" s="26"/>
      <c r="DU964" s="26"/>
      <c r="DV964" s="26"/>
      <c r="DW964" s="26"/>
      <c r="DX964" s="26"/>
      <c r="DY964" s="26"/>
      <c r="DZ964" s="26"/>
      <c r="EA964" s="26"/>
      <c r="EB964" s="26"/>
      <c r="EC964" s="26"/>
      <c r="ED964" s="26"/>
      <c r="EE964" s="26"/>
    </row>
    <row r="965" spans="1:135" ht="18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  <c r="CZ965" s="26"/>
      <c r="DA965" s="26"/>
      <c r="DB965" s="26"/>
      <c r="DC965" s="26"/>
      <c r="DD965" s="26"/>
      <c r="DE965" s="26"/>
      <c r="DF965" s="26"/>
      <c r="DG965" s="26"/>
      <c r="DH965" s="26"/>
      <c r="DI965" s="26"/>
      <c r="DJ965" s="26"/>
      <c r="DK965" s="26"/>
      <c r="DL965" s="26"/>
      <c r="DM965" s="26"/>
      <c r="DN965" s="26"/>
      <c r="DO965" s="26"/>
      <c r="DP965" s="26"/>
      <c r="DQ965" s="26"/>
      <c r="DR965" s="26"/>
      <c r="DS965" s="26"/>
      <c r="DT965" s="26"/>
      <c r="DU965" s="26"/>
      <c r="DV965" s="26"/>
      <c r="DW965" s="26"/>
      <c r="DX965" s="26"/>
      <c r="DY965" s="26"/>
      <c r="DZ965" s="26"/>
      <c r="EA965" s="26"/>
      <c r="EB965" s="26"/>
      <c r="EC965" s="26"/>
      <c r="ED965" s="26"/>
      <c r="EE965" s="26"/>
    </row>
    <row r="966" spans="1:135" ht="18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  <c r="CZ966" s="26"/>
      <c r="DA966" s="26"/>
      <c r="DB966" s="26"/>
      <c r="DC966" s="26"/>
      <c r="DD966" s="26"/>
      <c r="DE966" s="26"/>
      <c r="DF966" s="26"/>
      <c r="DG966" s="26"/>
      <c r="DH966" s="26"/>
      <c r="DI966" s="26"/>
      <c r="DJ966" s="26"/>
      <c r="DK966" s="26"/>
      <c r="DL966" s="26"/>
      <c r="DM966" s="26"/>
      <c r="DN966" s="26"/>
      <c r="DO966" s="26"/>
      <c r="DP966" s="26"/>
      <c r="DQ966" s="26"/>
      <c r="DR966" s="26"/>
      <c r="DS966" s="26"/>
      <c r="DT966" s="26"/>
      <c r="DU966" s="26"/>
      <c r="DV966" s="26"/>
      <c r="DW966" s="26"/>
      <c r="DX966" s="26"/>
      <c r="DY966" s="26"/>
      <c r="DZ966" s="26"/>
      <c r="EA966" s="26"/>
      <c r="EB966" s="26"/>
      <c r="EC966" s="26"/>
      <c r="ED966" s="26"/>
      <c r="EE966" s="26"/>
    </row>
    <row r="967" spans="1:135" ht="18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  <c r="CZ967" s="26"/>
      <c r="DA967" s="26"/>
      <c r="DB967" s="26"/>
      <c r="DC967" s="26"/>
      <c r="DD967" s="26"/>
      <c r="DE967" s="26"/>
      <c r="DF967" s="26"/>
      <c r="DG967" s="26"/>
      <c r="DH967" s="26"/>
      <c r="DI967" s="26"/>
      <c r="DJ967" s="26"/>
      <c r="DK967" s="26"/>
      <c r="DL967" s="26"/>
      <c r="DM967" s="26"/>
      <c r="DN967" s="26"/>
      <c r="DO967" s="26"/>
      <c r="DP967" s="26"/>
      <c r="DQ967" s="26"/>
      <c r="DR967" s="26"/>
      <c r="DS967" s="26"/>
      <c r="DT967" s="26"/>
      <c r="DU967" s="26"/>
      <c r="DV967" s="26"/>
      <c r="DW967" s="26"/>
      <c r="DX967" s="26"/>
      <c r="DY967" s="26"/>
      <c r="DZ967" s="26"/>
      <c r="EA967" s="26"/>
      <c r="EB967" s="26"/>
      <c r="EC967" s="26"/>
      <c r="ED967" s="26"/>
      <c r="EE967" s="26"/>
    </row>
    <row r="968" spans="1:135" ht="18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  <c r="CZ968" s="26"/>
      <c r="DA968" s="26"/>
      <c r="DB968" s="26"/>
      <c r="DC968" s="26"/>
      <c r="DD968" s="26"/>
      <c r="DE968" s="26"/>
      <c r="DF968" s="26"/>
      <c r="DG968" s="26"/>
      <c r="DH968" s="26"/>
      <c r="DI968" s="26"/>
      <c r="DJ968" s="26"/>
      <c r="DK968" s="26"/>
      <c r="DL968" s="26"/>
      <c r="DM968" s="26"/>
      <c r="DN968" s="26"/>
      <c r="DO968" s="26"/>
      <c r="DP968" s="26"/>
      <c r="DQ968" s="26"/>
      <c r="DR968" s="26"/>
      <c r="DS968" s="26"/>
      <c r="DT968" s="26"/>
      <c r="DU968" s="26"/>
      <c r="DV968" s="26"/>
      <c r="DW968" s="26"/>
      <c r="DX968" s="26"/>
      <c r="DY968" s="26"/>
      <c r="DZ968" s="26"/>
      <c r="EA968" s="26"/>
      <c r="EB968" s="26"/>
      <c r="EC968" s="26"/>
      <c r="ED968" s="26"/>
      <c r="EE968" s="26"/>
    </row>
    <row r="969" spans="1:135" ht="18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  <c r="CZ969" s="26"/>
      <c r="DA969" s="26"/>
      <c r="DB969" s="26"/>
      <c r="DC969" s="26"/>
      <c r="DD969" s="26"/>
      <c r="DE969" s="26"/>
      <c r="DF969" s="26"/>
      <c r="DG969" s="26"/>
      <c r="DH969" s="26"/>
      <c r="DI969" s="26"/>
      <c r="DJ969" s="26"/>
      <c r="DK969" s="26"/>
      <c r="DL969" s="26"/>
      <c r="DM969" s="26"/>
      <c r="DN969" s="26"/>
      <c r="DO969" s="26"/>
      <c r="DP969" s="26"/>
      <c r="DQ969" s="26"/>
      <c r="DR969" s="26"/>
      <c r="DS969" s="26"/>
      <c r="DT969" s="26"/>
      <c r="DU969" s="26"/>
      <c r="DV969" s="26"/>
      <c r="DW969" s="26"/>
      <c r="DX969" s="26"/>
      <c r="DY969" s="26"/>
      <c r="DZ969" s="26"/>
      <c r="EA969" s="26"/>
      <c r="EB969" s="26"/>
      <c r="EC969" s="26"/>
      <c r="ED969" s="26"/>
      <c r="EE969" s="26"/>
    </row>
    <row r="970" spans="1:135" ht="18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  <c r="CZ970" s="26"/>
      <c r="DA970" s="26"/>
      <c r="DB970" s="26"/>
      <c r="DC970" s="26"/>
      <c r="DD970" s="26"/>
      <c r="DE970" s="26"/>
      <c r="DF970" s="26"/>
      <c r="DG970" s="26"/>
      <c r="DH970" s="26"/>
      <c r="DI970" s="26"/>
      <c r="DJ970" s="26"/>
      <c r="DK970" s="26"/>
      <c r="DL970" s="26"/>
      <c r="DM970" s="26"/>
      <c r="DN970" s="26"/>
      <c r="DO970" s="26"/>
      <c r="DP970" s="26"/>
      <c r="DQ970" s="26"/>
      <c r="DR970" s="26"/>
      <c r="DS970" s="26"/>
      <c r="DT970" s="26"/>
      <c r="DU970" s="26"/>
      <c r="DV970" s="26"/>
      <c r="DW970" s="26"/>
      <c r="DX970" s="26"/>
      <c r="DY970" s="26"/>
      <c r="DZ970" s="26"/>
      <c r="EA970" s="26"/>
      <c r="EB970" s="26"/>
      <c r="EC970" s="26"/>
      <c r="ED970" s="26"/>
      <c r="EE970" s="26"/>
    </row>
    <row r="971" spans="1:135" ht="18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  <c r="CZ971" s="26"/>
      <c r="DA971" s="26"/>
      <c r="DB971" s="26"/>
      <c r="DC971" s="26"/>
      <c r="DD971" s="26"/>
      <c r="DE971" s="26"/>
      <c r="DF971" s="26"/>
      <c r="DG971" s="26"/>
      <c r="DH971" s="26"/>
      <c r="DI971" s="26"/>
      <c r="DJ971" s="26"/>
      <c r="DK971" s="26"/>
      <c r="DL971" s="26"/>
      <c r="DM971" s="26"/>
      <c r="DN971" s="26"/>
      <c r="DO971" s="26"/>
      <c r="DP971" s="26"/>
      <c r="DQ971" s="26"/>
      <c r="DR971" s="26"/>
      <c r="DS971" s="26"/>
      <c r="DT971" s="26"/>
      <c r="DU971" s="26"/>
      <c r="DV971" s="26"/>
      <c r="DW971" s="26"/>
      <c r="DX971" s="26"/>
      <c r="DY971" s="26"/>
      <c r="DZ971" s="26"/>
      <c r="EA971" s="26"/>
      <c r="EB971" s="26"/>
      <c r="EC971" s="26"/>
      <c r="ED971" s="26"/>
      <c r="EE971" s="26"/>
    </row>
    <row r="972" spans="1:135" ht="18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  <c r="CZ972" s="26"/>
      <c r="DA972" s="26"/>
      <c r="DB972" s="26"/>
      <c r="DC972" s="26"/>
      <c r="DD972" s="26"/>
      <c r="DE972" s="26"/>
      <c r="DF972" s="26"/>
      <c r="DG972" s="26"/>
      <c r="DH972" s="26"/>
      <c r="DI972" s="26"/>
      <c r="DJ972" s="26"/>
      <c r="DK972" s="26"/>
      <c r="DL972" s="26"/>
      <c r="DM972" s="26"/>
      <c r="DN972" s="26"/>
      <c r="DO972" s="26"/>
      <c r="DP972" s="26"/>
      <c r="DQ972" s="26"/>
      <c r="DR972" s="26"/>
      <c r="DS972" s="26"/>
      <c r="DT972" s="26"/>
      <c r="DU972" s="26"/>
      <c r="DV972" s="26"/>
      <c r="DW972" s="26"/>
      <c r="DX972" s="26"/>
      <c r="DY972" s="26"/>
      <c r="DZ972" s="26"/>
      <c r="EA972" s="26"/>
      <c r="EB972" s="26"/>
      <c r="EC972" s="26"/>
      <c r="ED972" s="26"/>
      <c r="EE972" s="26"/>
    </row>
    <row r="973" spans="1:135" ht="18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  <c r="DB973" s="26"/>
      <c r="DC973" s="26"/>
      <c r="DD973" s="26"/>
      <c r="DE973" s="26"/>
      <c r="DF973" s="26"/>
      <c r="DG973" s="26"/>
      <c r="DH973" s="26"/>
      <c r="DI973" s="26"/>
      <c r="DJ973" s="26"/>
      <c r="DK973" s="26"/>
      <c r="DL973" s="26"/>
      <c r="DM973" s="26"/>
      <c r="DN973" s="26"/>
      <c r="DO973" s="26"/>
      <c r="DP973" s="26"/>
      <c r="DQ973" s="26"/>
      <c r="DR973" s="26"/>
      <c r="DS973" s="26"/>
      <c r="DT973" s="26"/>
      <c r="DU973" s="26"/>
      <c r="DV973" s="26"/>
      <c r="DW973" s="26"/>
      <c r="DX973" s="26"/>
      <c r="DY973" s="26"/>
      <c r="DZ973" s="26"/>
      <c r="EA973" s="26"/>
      <c r="EB973" s="26"/>
      <c r="EC973" s="26"/>
      <c r="ED973" s="26"/>
      <c r="EE973" s="26"/>
    </row>
    <row r="974" spans="1:135" ht="18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  <c r="CZ974" s="26"/>
      <c r="DA974" s="26"/>
      <c r="DB974" s="26"/>
      <c r="DC974" s="26"/>
      <c r="DD974" s="26"/>
      <c r="DE974" s="26"/>
      <c r="DF974" s="26"/>
      <c r="DG974" s="26"/>
      <c r="DH974" s="26"/>
      <c r="DI974" s="26"/>
      <c r="DJ974" s="26"/>
      <c r="DK974" s="26"/>
      <c r="DL974" s="26"/>
      <c r="DM974" s="26"/>
      <c r="DN974" s="26"/>
      <c r="DO974" s="26"/>
      <c r="DP974" s="26"/>
      <c r="DQ974" s="26"/>
      <c r="DR974" s="26"/>
      <c r="DS974" s="26"/>
      <c r="DT974" s="26"/>
      <c r="DU974" s="26"/>
      <c r="DV974" s="26"/>
      <c r="DW974" s="26"/>
      <c r="DX974" s="26"/>
      <c r="DY974" s="26"/>
      <c r="DZ974" s="26"/>
      <c r="EA974" s="26"/>
      <c r="EB974" s="26"/>
      <c r="EC974" s="26"/>
      <c r="ED974" s="26"/>
      <c r="EE974" s="26"/>
    </row>
    <row r="975" spans="1:135" ht="18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  <c r="CZ975" s="26"/>
      <c r="DA975" s="26"/>
      <c r="DB975" s="26"/>
      <c r="DC975" s="26"/>
      <c r="DD975" s="26"/>
      <c r="DE975" s="26"/>
      <c r="DF975" s="26"/>
      <c r="DG975" s="26"/>
      <c r="DH975" s="26"/>
      <c r="DI975" s="26"/>
      <c r="DJ975" s="26"/>
      <c r="DK975" s="26"/>
      <c r="DL975" s="26"/>
      <c r="DM975" s="26"/>
      <c r="DN975" s="26"/>
      <c r="DO975" s="26"/>
      <c r="DP975" s="26"/>
      <c r="DQ975" s="26"/>
      <c r="DR975" s="26"/>
      <c r="DS975" s="26"/>
      <c r="DT975" s="26"/>
      <c r="DU975" s="26"/>
      <c r="DV975" s="26"/>
      <c r="DW975" s="26"/>
      <c r="DX975" s="26"/>
      <c r="DY975" s="26"/>
      <c r="DZ975" s="26"/>
      <c r="EA975" s="26"/>
      <c r="EB975" s="26"/>
      <c r="EC975" s="26"/>
      <c r="ED975" s="26"/>
      <c r="EE975" s="26"/>
    </row>
    <row r="976" spans="1:135" ht="18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  <c r="CZ976" s="26"/>
      <c r="DA976" s="26"/>
      <c r="DB976" s="26"/>
      <c r="DC976" s="26"/>
      <c r="DD976" s="26"/>
      <c r="DE976" s="26"/>
      <c r="DF976" s="26"/>
      <c r="DG976" s="26"/>
      <c r="DH976" s="26"/>
      <c r="DI976" s="26"/>
      <c r="DJ976" s="26"/>
      <c r="DK976" s="26"/>
      <c r="DL976" s="26"/>
      <c r="DM976" s="26"/>
      <c r="DN976" s="26"/>
      <c r="DO976" s="26"/>
      <c r="DP976" s="26"/>
      <c r="DQ976" s="26"/>
      <c r="DR976" s="26"/>
      <c r="DS976" s="26"/>
      <c r="DT976" s="26"/>
      <c r="DU976" s="26"/>
      <c r="DV976" s="26"/>
      <c r="DW976" s="26"/>
      <c r="DX976" s="26"/>
      <c r="DY976" s="26"/>
      <c r="DZ976" s="26"/>
      <c r="EA976" s="26"/>
      <c r="EB976" s="26"/>
      <c r="EC976" s="26"/>
      <c r="ED976" s="26"/>
      <c r="EE976" s="26"/>
    </row>
    <row r="977" spans="1:135" ht="18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  <c r="CZ977" s="26"/>
      <c r="DA977" s="26"/>
      <c r="DB977" s="26"/>
      <c r="DC977" s="26"/>
      <c r="DD977" s="26"/>
      <c r="DE977" s="26"/>
      <c r="DF977" s="26"/>
      <c r="DG977" s="26"/>
      <c r="DH977" s="26"/>
      <c r="DI977" s="26"/>
      <c r="DJ977" s="26"/>
      <c r="DK977" s="26"/>
      <c r="DL977" s="26"/>
      <c r="DM977" s="26"/>
      <c r="DN977" s="26"/>
      <c r="DO977" s="26"/>
      <c r="DP977" s="26"/>
      <c r="DQ977" s="26"/>
      <c r="DR977" s="26"/>
      <c r="DS977" s="26"/>
      <c r="DT977" s="26"/>
      <c r="DU977" s="26"/>
      <c r="DV977" s="26"/>
      <c r="DW977" s="26"/>
      <c r="DX977" s="26"/>
      <c r="DY977" s="26"/>
      <c r="DZ977" s="26"/>
      <c r="EA977" s="26"/>
      <c r="EB977" s="26"/>
      <c r="EC977" s="26"/>
      <c r="ED977" s="26"/>
      <c r="EE977" s="26"/>
    </row>
    <row r="978" spans="1:135" ht="18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  <c r="CZ978" s="26"/>
      <c r="DA978" s="26"/>
      <c r="DB978" s="26"/>
      <c r="DC978" s="26"/>
      <c r="DD978" s="26"/>
      <c r="DE978" s="26"/>
      <c r="DF978" s="26"/>
      <c r="DG978" s="26"/>
      <c r="DH978" s="26"/>
      <c r="DI978" s="26"/>
      <c r="DJ978" s="26"/>
      <c r="DK978" s="26"/>
      <c r="DL978" s="26"/>
      <c r="DM978" s="26"/>
      <c r="DN978" s="26"/>
      <c r="DO978" s="26"/>
      <c r="DP978" s="26"/>
      <c r="DQ978" s="26"/>
      <c r="DR978" s="26"/>
      <c r="DS978" s="26"/>
      <c r="DT978" s="26"/>
      <c r="DU978" s="26"/>
      <c r="DV978" s="26"/>
      <c r="DW978" s="26"/>
      <c r="DX978" s="26"/>
      <c r="DY978" s="26"/>
      <c r="DZ978" s="26"/>
      <c r="EA978" s="26"/>
      <c r="EB978" s="26"/>
      <c r="EC978" s="26"/>
      <c r="ED978" s="26"/>
      <c r="EE978" s="26"/>
    </row>
    <row r="979" spans="1:135" ht="18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  <c r="DB979" s="26"/>
      <c r="DC979" s="26"/>
      <c r="DD979" s="26"/>
      <c r="DE979" s="26"/>
      <c r="DF979" s="26"/>
      <c r="DG979" s="26"/>
      <c r="DH979" s="26"/>
      <c r="DI979" s="26"/>
      <c r="DJ979" s="26"/>
      <c r="DK979" s="26"/>
      <c r="DL979" s="26"/>
      <c r="DM979" s="26"/>
      <c r="DN979" s="26"/>
      <c r="DO979" s="26"/>
      <c r="DP979" s="26"/>
      <c r="DQ979" s="26"/>
      <c r="DR979" s="26"/>
      <c r="DS979" s="26"/>
      <c r="DT979" s="26"/>
      <c r="DU979" s="26"/>
      <c r="DV979" s="26"/>
      <c r="DW979" s="26"/>
      <c r="DX979" s="26"/>
      <c r="DY979" s="26"/>
      <c r="DZ979" s="26"/>
      <c r="EA979" s="26"/>
      <c r="EB979" s="26"/>
      <c r="EC979" s="26"/>
      <c r="ED979" s="26"/>
      <c r="EE979" s="26"/>
    </row>
    <row r="980" spans="1:135" ht="18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  <c r="CZ980" s="26"/>
      <c r="DA980" s="26"/>
      <c r="DB980" s="26"/>
      <c r="DC980" s="26"/>
      <c r="DD980" s="26"/>
      <c r="DE980" s="26"/>
      <c r="DF980" s="26"/>
      <c r="DG980" s="26"/>
      <c r="DH980" s="26"/>
      <c r="DI980" s="26"/>
      <c r="DJ980" s="26"/>
      <c r="DK980" s="26"/>
      <c r="DL980" s="26"/>
      <c r="DM980" s="26"/>
      <c r="DN980" s="26"/>
      <c r="DO980" s="26"/>
      <c r="DP980" s="26"/>
      <c r="DQ980" s="26"/>
      <c r="DR980" s="26"/>
      <c r="DS980" s="26"/>
      <c r="DT980" s="26"/>
      <c r="DU980" s="26"/>
      <c r="DV980" s="26"/>
      <c r="DW980" s="26"/>
      <c r="DX980" s="26"/>
      <c r="DY980" s="26"/>
      <c r="DZ980" s="26"/>
      <c r="EA980" s="26"/>
      <c r="EB980" s="26"/>
      <c r="EC980" s="26"/>
      <c r="ED980" s="26"/>
      <c r="EE980" s="26"/>
    </row>
    <row r="981" spans="1:135" ht="18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  <c r="CZ981" s="26"/>
      <c r="DA981" s="26"/>
      <c r="DB981" s="26"/>
      <c r="DC981" s="26"/>
      <c r="DD981" s="26"/>
      <c r="DE981" s="26"/>
      <c r="DF981" s="26"/>
      <c r="DG981" s="26"/>
      <c r="DH981" s="26"/>
      <c r="DI981" s="26"/>
      <c r="DJ981" s="26"/>
      <c r="DK981" s="26"/>
      <c r="DL981" s="26"/>
      <c r="DM981" s="26"/>
      <c r="DN981" s="26"/>
      <c r="DO981" s="26"/>
      <c r="DP981" s="26"/>
      <c r="DQ981" s="26"/>
      <c r="DR981" s="26"/>
      <c r="DS981" s="26"/>
      <c r="DT981" s="26"/>
      <c r="DU981" s="26"/>
      <c r="DV981" s="26"/>
      <c r="DW981" s="26"/>
      <c r="DX981" s="26"/>
      <c r="DY981" s="26"/>
      <c r="DZ981" s="26"/>
      <c r="EA981" s="26"/>
      <c r="EB981" s="26"/>
      <c r="EC981" s="26"/>
      <c r="ED981" s="26"/>
      <c r="EE981" s="26"/>
    </row>
    <row r="982" spans="1:135" ht="18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  <c r="CZ982" s="26"/>
      <c r="DA982" s="26"/>
      <c r="DB982" s="26"/>
      <c r="DC982" s="26"/>
      <c r="DD982" s="26"/>
      <c r="DE982" s="26"/>
      <c r="DF982" s="26"/>
      <c r="DG982" s="26"/>
      <c r="DH982" s="26"/>
      <c r="DI982" s="26"/>
      <c r="DJ982" s="26"/>
      <c r="DK982" s="26"/>
      <c r="DL982" s="26"/>
      <c r="DM982" s="26"/>
      <c r="DN982" s="26"/>
      <c r="DO982" s="26"/>
      <c r="DP982" s="26"/>
      <c r="DQ982" s="26"/>
      <c r="DR982" s="26"/>
      <c r="DS982" s="26"/>
      <c r="DT982" s="26"/>
      <c r="DU982" s="26"/>
      <c r="DV982" s="26"/>
      <c r="DW982" s="26"/>
      <c r="DX982" s="26"/>
      <c r="DY982" s="26"/>
      <c r="DZ982" s="26"/>
      <c r="EA982" s="26"/>
      <c r="EB982" s="26"/>
      <c r="EC982" s="26"/>
      <c r="ED982" s="26"/>
      <c r="EE982" s="26"/>
    </row>
    <row r="983" spans="1:135" ht="18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  <c r="CZ983" s="26"/>
      <c r="DA983" s="26"/>
      <c r="DB983" s="26"/>
      <c r="DC983" s="26"/>
      <c r="DD983" s="26"/>
      <c r="DE983" s="26"/>
      <c r="DF983" s="26"/>
      <c r="DG983" s="26"/>
      <c r="DH983" s="26"/>
      <c r="DI983" s="26"/>
      <c r="DJ983" s="26"/>
      <c r="DK983" s="26"/>
      <c r="DL983" s="26"/>
      <c r="DM983" s="26"/>
      <c r="DN983" s="26"/>
      <c r="DO983" s="26"/>
      <c r="DP983" s="26"/>
      <c r="DQ983" s="26"/>
      <c r="DR983" s="26"/>
      <c r="DS983" s="26"/>
      <c r="DT983" s="26"/>
      <c r="DU983" s="26"/>
      <c r="DV983" s="26"/>
      <c r="DW983" s="26"/>
      <c r="DX983" s="26"/>
      <c r="DY983" s="26"/>
      <c r="DZ983" s="26"/>
      <c r="EA983" s="26"/>
      <c r="EB983" s="26"/>
      <c r="EC983" s="26"/>
      <c r="ED983" s="26"/>
      <c r="EE983" s="26"/>
    </row>
    <row r="984" spans="1:135" ht="18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  <c r="CV984" s="26"/>
      <c r="CW984" s="26"/>
      <c r="CX984" s="26"/>
      <c r="CY984" s="26"/>
      <c r="CZ984" s="26"/>
      <c r="DA984" s="26"/>
      <c r="DB984" s="26"/>
      <c r="DC984" s="26"/>
      <c r="DD984" s="26"/>
      <c r="DE984" s="26"/>
      <c r="DF984" s="26"/>
      <c r="DG984" s="26"/>
      <c r="DH984" s="26"/>
      <c r="DI984" s="26"/>
      <c r="DJ984" s="26"/>
      <c r="DK984" s="26"/>
      <c r="DL984" s="26"/>
      <c r="DM984" s="26"/>
      <c r="DN984" s="26"/>
      <c r="DO984" s="26"/>
      <c r="DP984" s="26"/>
      <c r="DQ984" s="26"/>
      <c r="DR984" s="26"/>
      <c r="DS984" s="26"/>
      <c r="DT984" s="26"/>
      <c r="DU984" s="26"/>
      <c r="DV984" s="26"/>
      <c r="DW984" s="26"/>
      <c r="DX984" s="26"/>
      <c r="DY984" s="26"/>
      <c r="DZ984" s="26"/>
      <c r="EA984" s="26"/>
      <c r="EB984" s="26"/>
      <c r="EC984" s="26"/>
      <c r="ED984" s="26"/>
      <c r="EE984" s="26"/>
    </row>
    <row r="985" spans="1:135" ht="18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  <c r="CV985" s="26"/>
      <c r="CW985" s="26"/>
      <c r="CX985" s="26"/>
      <c r="CY985" s="26"/>
      <c r="CZ985" s="26"/>
      <c r="DA985" s="26"/>
      <c r="DB985" s="26"/>
      <c r="DC985" s="26"/>
      <c r="DD985" s="26"/>
      <c r="DE985" s="26"/>
      <c r="DF985" s="26"/>
      <c r="DG985" s="26"/>
      <c r="DH985" s="26"/>
      <c r="DI985" s="26"/>
      <c r="DJ985" s="26"/>
      <c r="DK985" s="26"/>
      <c r="DL985" s="26"/>
      <c r="DM985" s="26"/>
      <c r="DN985" s="26"/>
      <c r="DO985" s="26"/>
      <c r="DP985" s="26"/>
      <c r="DQ985" s="26"/>
      <c r="DR985" s="26"/>
      <c r="DS985" s="26"/>
      <c r="DT985" s="26"/>
      <c r="DU985" s="26"/>
      <c r="DV985" s="26"/>
      <c r="DW985" s="26"/>
      <c r="DX985" s="26"/>
      <c r="DY985" s="26"/>
      <c r="DZ985" s="26"/>
      <c r="EA985" s="26"/>
      <c r="EB985" s="26"/>
      <c r="EC985" s="26"/>
      <c r="ED985" s="26"/>
      <c r="EE985" s="26"/>
    </row>
    <row r="986" spans="1:135" ht="18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  <c r="CZ986" s="26"/>
      <c r="DA986" s="26"/>
      <c r="DB986" s="26"/>
      <c r="DC986" s="26"/>
      <c r="DD986" s="26"/>
      <c r="DE986" s="26"/>
      <c r="DF986" s="26"/>
      <c r="DG986" s="26"/>
      <c r="DH986" s="26"/>
      <c r="DI986" s="26"/>
      <c r="DJ986" s="26"/>
      <c r="DK986" s="26"/>
      <c r="DL986" s="26"/>
      <c r="DM986" s="26"/>
      <c r="DN986" s="26"/>
      <c r="DO986" s="26"/>
      <c r="DP986" s="26"/>
      <c r="DQ986" s="26"/>
      <c r="DR986" s="26"/>
      <c r="DS986" s="26"/>
      <c r="DT986" s="26"/>
      <c r="DU986" s="26"/>
      <c r="DV986" s="26"/>
      <c r="DW986" s="26"/>
      <c r="DX986" s="26"/>
      <c r="DY986" s="26"/>
      <c r="DZ986" s="26"/>
      <c r="EA986" s="26"/>
      <c r="EB986" s="26"/>
      <c r="EC986" s="26"/>
      <c r="ED986" s="26"/>
      <c r="EE986" s="26"/>
    </row>
    <row r="987" spans="1:135" ht="18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  <c r="CZ987" s="26"/>
      <c r="DA987" s="26"/>
      <c r="DB987" s="26"/>
      <c r="DC987" s="26"/>
      <c r="DD987" s="26"/>
      <c r="DE987" s="26"/>
      <c r="DF987" s="26"/>
      <c r="DG987" s="26"/>
      <c r="DH987" s="26"/>
      <c r="DI987" s="26"/>
      <c r="DJ987" s="26"/>
      <c r="DK987" s="26"/>
      <c r="DL987" s="26"/>
      <c r="DM987" s="26"/>
      <c r="DN987" s="26"/>
      <c r="DO987" s="26"/>
      <c r="DP987" s="26"/>
      <c r="DQ987" s="26"/>
      <c r="DR987" s="26"/>
      <c r="DS987" s="26"/>
      <c r="DT987" s="26"/>
      <c r="DU987" s="26"/>
      <c r="DV987" s="26"/>
      <c r="DW987" s="26"/>
      <c r="DX987" s="26"/>
      <c r="DY987" s="26"/>
      <c r="DZ987" s="26"/>
      <c r="EA987" s="26"/>
      <c r="EB987" s="26"/>
      <c r="EC987" s="26"/>
      <c r="ED987" s="26"/>
      <c r="EE987" s="26"/>
    </row>
    <row r="988" spans="1:135" ht="18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  <c r="CV988" s="26"/>
      <c r="CW988" s="26"/>
      <c r="CX988" s="26"/>
      <c r="CY988" s="26"/>
      <c r="CZ988" s="26"/>
      <c r="DA988" s="26"/>
      <c r="DB988" s="26"/>
      <c r="DC988" s="26"/>
      <c r="DD988" s="26"/>
      <c r="DE988" s="26"/>
      <c r="DF988" s="26"/>
      <c r="DG988" s="26"/>
      <c r="DH988" s="26"/>
      <c r="DI988" s="26"/>
      <c r="DJ988" s="26"/>
      <c r="DK988" s="26"/>
      <c r="DL988" s="26"/>
      <c r="DM988" s="26"/>
      <c r="DN988" s="26"/>
      <c r="DO988" s="26"/>
      <c r="DP988" s="26"/>
      <c r="DQ988" s="26"/>
      <c r="DR988" s="26"/>
      <c r="DS988" s="26"/>
      <c r="DT988" s="26"/>
      <c r="DU988" s="26"/>
      <c r="DV988" s="26"/>
      <c r="DW988" s="26"/>
      <c r="DX988" s="26"/>
      <c r="DY988" s="26"/>
      <c r="DZ988" s="26"/>
      <c r="EA988" s="26"/>
      <c r="EB988" s="26"/>
      <c r="EC988" s="26"/>
      <c r="ED988" s="26"/>
      <c r="EE988" s="26"/>
    </row>
    <row r="989" spans="1:135" ht="18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  <c r="CV989" s="26"/>
      <c r="CW989" s="26"/>
      <c r="CX989" s="26"/>
      <c r="CY989" s="26"/>
      <c r="CZ989" s="26"/>
      <c r="DA989" s="26"/>
      <c r="DB989" s="26"/>
      <c r="DC989" s="26"/>
      <c r="DD989" s="26"/>
      <c r="DE989" s="26"/>
      <c r="DF989" s="26"/>
      <c r="DG989" s="26"/>
      <c r="DH989" s="26"/>
      <c r="DI989" s="26"/>
      <c r="DJ989" s="26"/>
      <c r="DK989" s="26"/>
      <c r="DL989" s="26"/>
      <c r="DM989" s="26"/>
      <c r="DN989" s="26"/>
      <c r="DO989" s="26"/>
      <c r="DP989" s="26"/>
      <c r="DQ989" s="26"/>
      <c r="DR989" s="26"/>
      <c r="DS989" s="26"/>
      <c r="DT989" s="26"/>
      <c r="DU989" s="26"/>
      <c r="DV989" s="26"/>
      <c r="DW989" s="26"/>
      <c r="DX989" s="26"/>
      <c r="DY989" s="26"/>
      <c r="DZ989" s="26"/>
      <c r="EA989" s="26"/>
      <c r="EB989" s="26"/>
      <c r="EC989" s="26"/>
      <c r="ED989" s="26"/>
      <c r="EE989" s="26"/>
    </row>
    <row r="990" spans="1:135" ht="18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  <c r="CZ990" s="26"/>
      <c r="DA990" s="26"/>
      <c r="DB990" s="26"/>
      <c r="DC990" s="26"/>
      <c r="DD990" s="26"/>
      <c r="DE990" s="26"/>
      <c r="DF990" s="26"/>
      <c r="DG990" s="26"/>
      <c r="DH990" s="26"/>
      <c r="DI990" s="26"/>
      <c r="DJ990" s="26"/>
      <c r="DK990" s="26"/>
      <c r="DL990" s="26"/>
      <c r="DM990" s="26"/>
      <c r="DN990" s="26"/>
      <c r="DO990" s="26"/>
      <c r="DP990" s="26"/>
      <c r="DQ990" s="26"/>
      <c r="DR990" s="26"/>
      <c r="DS990" s="26"/>
      <c r="DT990" s="26"/>
      <c r="DU990" s="26"/>
      <c r="DV990" s="26"/>
      <c r="DW990" s="26"/>
      <c r="DX990" s="26"/>
      <c r="DY990" s="26"/>
      <c r="DZ990" s="26"/>
      <c r="EA990" s="26"/>
      <c r="EB990" s="26"/>
      <c r="EC990" s="26"/>
      <c r="ED990" s="26"/>
      <c r="EE990" s="26"/>
    </row>
    <row r="991" spans="1:135" ht="18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  <c r="CZ991" s="26"/>
      <c r="DA991" s="26"/>
      <c r="DB991" s="26"/>
      <c r="DC991" s="26"/>
      <c r="DD991" s="26"/>
      <c r="DE991" s="26"/>
      <c r="DF991" s="26"/>
      <c r="DG991" s="26"/>
      <c r="DH991" s="26"/>
      <c r="DI991" s="26"/>
      <c r="DJ991" s="26"/>
      <c r="DK991" s="26"/>
      <c r="DL991" s="26"/>
      <c r="DM991" s="26"/>
      <c r="DN991" s="26"/>
      <c r="DO991" s="26"/>
      <c r="DP991" s="26"/>
      <c r="DQ991" s="26"/>
      <c r="DR991" s="26"/>
      <c r="DS991" s="26"/>
      <c r="DT991" s="26"/>
      <c r="DU991" s="26"/>
      <c r="DV991" s="26"/>
      <c r="DW991" s="26"/>
      <c r="DX991" s="26"/>
      <c r="DY991" s="26"/>
      <c r="DZ991" s="26"/>
      <c r="EA991" s="26"/>
      <c r="EB991" s="26"/>
      <c r="EC991" s="26"/>
      <c r="ED991" s="26"/>
      <c r="EE991" s="26"/>
    </row>
    <row r="992" spans="1:135" ht="18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  <c r="CZ992" s="26"/>
      <c r="DA992" s="26"/>
      <c r="DB992" s="26"/>
      <c r="DC992" s="26"/>
      <c r="DD992" s="26"/>
      <c r="DE992" s="26"/>
      <c r="DF992" s="26"/>
      <c r="DG992" s="26"/>
      <c r="DH992" s="26"/>
      <c r="DI992" s="26"/>
      <c r="DJ992" s="26"/>
      <c r="DK992" s="26"/>
      <c r="DL992" s="26"/>
      <c r="DM992" s="26"/>
      <c r="DN992" s="26"/>
      <c r="DO992" s="26"/>
      <c r="DP992" s="26"/>
      <c r="DQ992" s="26"/>
      <c r="DR992" s="26"/>
      <c r="DS992" s="26"/>
      <c r="DT992" s="26"/>
      <c r="DU992" s="26"/>
      <c r="DV992" s="26"/>
      <c r="DW992" s="26"/>
      <c r="DX992" s="26"/>
      <c r="DY992" s="26"/>
      <c r="DZ992" s="26"/>
      <c r="EA992" s="26"/>
      <c r="EB992" s="26"/>
      <c r="EC992" s="26"/>
      <c r="ED992" s="26"/>
      <c r="EE992" s="26"/>
    </row>
    <row r="993" spans="1:135" ht="18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  <c r="CZ993" s="26"/>
      <c r="DA993" s="26"/>
      <c r="DB993" s="26"/>
      <c r="DC993" s="26"/>
      <c r="DD993" s="26"/>
      <c r="DE993" s="26"/>
      <c r="DF993" s="26"/>
      <c r="DG993" s="26"/>
      <c r="DH993" s="26"/>
      <c r="DI993" s="26"/>
      <c r="DJ993" s="26"/>
      <c r="DK993" s="26"/>
      <c r="DL993" s="26"/>
      <c r="DM993" s="26"/>
      <c r="DN993" s="26"/>
      <c r="DO993" s="26"/>
      <c r="DP993" s="26"/>
      <c r="DQ993" s="26"/>
      <c r="DR993" s="26"/>
      <c r="DS993" s="26"/>
      <c r="DT993" s="26"/>
      <c r="DU993" s="26"/>
      <c r="DV993" s="26"/>
      <c r="DW993" s="26"/>
      <c r="DX993" s="26"/>
      <c r="DY993" s="26"/>
      <c r="DZ993" s="26"/>
      <c r="EA993" s="26"/>
      <c r="EB993" s="26"/>
      <c r="EC993" s="26"/>
      <c r="ED993" s="26"/>
      <c r="EE993" s="26"/>
    </row>
    <row r="994" spans="1:135" ht="18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  <c r="CZ994" s="26"/>
      <c r="DA994" s="26"/>
      <c r="DB994" s="26"/>
      <c r="DC994" s="26"/>
      <c r="DD994" s="26"/>
      <c r="DE994" s="26"/>
      <c r="DF994" s="26"/>
      <c r="DG994" s="26"/>
      <c r="DH994" s="26"/>
      <c r="DI994" s="26"/>
      <c r="DJ994" s="26"/>
      <c r="DK994" s="26"/>
      <c r="DL994" s="26"/>
      <c r="DM994" s="26"/>
      <c r="DN994" s="26"/>
      <c r="DO994" s="26"/>
      <c r="DP994" s="26"/>
      <c r="DQ994" s="26"/>
      <c r="DR994" s="26"/>
      <c r="DS994" s="26"/>
      <c r="DT994" s="26"/>
      <c r="DU994" s="26"/>
      <c r="DV994" s="26"/>
      <c r="DW994" s="26"/>
      <c r="DX994" s="26"/>
      <c r="DY994" s="26"/>
      <c r="DZ994" s="26"/>
      <c r="EA994" s="26"/>
      <c r="EB994" s="26"/>
      <c r="EC994" s="26"/>
      <c r="ED994" s="26"/>
      <c r="EE994" s="26"/>
    </row>
    <row r="995" spans="1:135" ht="18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6"/>
      <c r="DC995" s="26"/>
      <c r="DD995" s="26"/>
      <c r="DE995" s="26"/>
      <c r="DF995" s="26"/>
      <c r="DG995" s="26"/>
      <c r="DH995" s="26"/>
      <c r="DI995" s="26"/>
      <c r="DJ995" s="26"/>
      <c r="DK995" s="26"/>
      <c r="DL995" s="26"/>
      <c r="DM995" s="26"/>
      <c r="DN995" s="26"/>
      <c r="DO995" s="26"/>
      <c r="DP995" s="26"/>
      <c r="DQ995" s="26"/>
      <c r="DR995" s="26"/>
      <c r="DS995" s="26"/>
      <c r="DT995" s="26"/>
      <c r="DU995" s="26"/>
      <c r="DV995" s="26"/>
      <c r="DW995" s="26"/>
      <c r="DX995" s="26"/>
      <c r="DY995" s="26"/>
      <c r="DZ995" s="26"/>
      <c r="EA995" s="26"/>
      <c r="EB995" s="26"/>
      <c r="EC995" s="26"/>
      <c r="ED995" s="26"/>
      <c r="EE995" s="26"/>
    </row>
    <row r="996" spans="1:135" ht="18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6"/>
      <c r="DC996" s="26"/>
      <c r="DD996" s="26"/>
      <c r="DE996" s="26"/>
      <c r="DF996" s="26"/>
      <c r="DG996" s="26"/>
      <c r="DH996" s="26"/>
      <c r="DI996" s="26"/>
      <c r="DJ996" s="26"/>
      <c r="DK996" s="26"/>
      <c r="DL996" s="26"/>
      <c r="DM996" s="26"/>
      <c r="DN996" s="26"/>
      <c r="DO996" s="26"/>
      <c r="DP996" s="26"/>
      <c r="DQ996" s="26"/>
      <c r="DR996" s="26"/>
      <c r="DS996" s="26"/>
      <c r="DT996" s="26"/>
      <c r="DU996" s="26"/>
      <c r="DV996" s="26"/>
      <c r="DW996" s="26"/>
      <c r="DX996" s="26"/>
      <c r="DY996" s="26"/>
      <c r="DZ996" s="26"/>
      <c r="EA996" s="26"/>
      <c r="EB996" s="26"/>
      <c r="EC996" s="26"/>
      <c r="ED996" s="26"/>
      <c r="EE996" s="26"/>
    </row>
    <row r="997" spans="1:135" ht="18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  <c r="CZ997" s="26"/>
      <c r="DA997" s="26"/>
      <c r="DB997" s="26"/>
      <c r="DC997" s="26"/>
      <c r="DD997" s="26"/>
      <c r="DE997" s="26"/>
      <c r="DF997" s="26"/>
      <c r="DG997" s="26"/>
      <c r="DH997" s="26"/>
      <c r="DI997" s="26"/>
      <c r="DJ997" s="26"/>
      <c r="DK997" s="26"/>
      <c r="DL997" s="26"/>
      <c r="DM997" s="26"/>
      <c r="DN997" s="26"/>
      <c r="DO997" s="26"/>
      <c r="DP997" s="26"/>
      <c r="DQ997" s="26"/>
      <c r="DR997" s="26"/>
      <c r="DS997" s="26"/>
      <c r="DT997" s="26"/>
      <c r="DU997" s="26"/>
      <c r="DV997" s="26"/>
      <c r="DW997" s="26"/>
      <c r="DX997" s="26"/>
      <c r="DY997" s="26"/>
      <c r="DZ997" s="26"/>
      <c r="EA997" s="26"/>
      <c r="EB997" s="26"/>
      <c r="EC997" s="26"/>
      <c r="ED997" s="26"/>
      <c r="EE997" s="26"/>
    </row>
    <row r="998" spans="1:135" ht="18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  <c r="CZ998" s="26"/>
      <c r="DA998" s="26"/>
      <c r="DB998" s="26"/>
      <c r="DC998" s="26"/>
      <c r="DD998" s="26"/>
      <c r="DE998" s="26"/>
      <c r="DF998" s="26"/>
      <c r="DG998" s="26"/>
      <c r="DH998" s="26"/>
      <c r="DI998" s="26"/>
      <c r="DJ998" s="26"/>
      <c r="DK998" s="26"/>
      <c r="DL998" s="26"/>
      <c r="DM998" s="26"/>
      <c r="DN998" s="26"/>
      <c r="DO998" s="26"/>
      <c r="DP998" s="26"/>
      <c r="DQ998" s="26"/>
      <c r="DR998" s="26"/>
      <c r="DS998" s="26"/>
      <c r="DT998" s="26"/>
      <c r="DU998" s="26"/>
      <c r="DV998" s="26"/>
      <c r="DW998" s="26"/>
      <c r="DX998" s="26"/>
      <c r="DY998" s="26"/>
      <c r="DZ998" s="26"/>
      <c r="EA998" s="26"/>
      <c r="EB998" s="26"/>
      <c r="EC998" s="26"/>
      <c r="ED998" s="26"/>
      <c r="EE998" s="26"/>
    </row>
    <row r="999" spans="1:135" ht="18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  <c r="CV999" s="26"/>
      <c r="CW999" s="26"/>
      <c r="CX999" s="26"/>
      <c r="CY999" s="26"/>
      <c r="CZ999" s="26"/>
      <c r="DA999" s="26"/>
      <c r="DB999" s="26"/>
      <c r="DC999" s="26"/>
      <c r="DD999" s="26"/>
      <c r="DE999" s="26"/>
      <c r="DF999" s="26"/>
      <c r="DG999" s="26"/>
      <c r="DH999" s="26"/>
      <c r="DI999" s="26"/>
      <c r="DJ999" s="26"/>
      <c r="DK999" s="26"/>
      <c r="DL999" s="26"/>
      <c r="DM999" s="26"/>
      <c r="DN999" s="26"/>
      <c r="DO999" s="26"/>
      <c r="DP999" s="26"/>
      <c r="DQ999" s="26"/>
      <c r="DR999" s="26"/>
      <c r="DS999" s="26"/>
      <c r="DT999" s="26"/>
      <c r="DU999" s="26"/>
      <c r="DV999" s="26"/>
      <c r="DW999" s="26"/>
      <c r="DX999" s="26"/>
      <c r="DY999" s="26"/>
      <c r="DZ999" s="26"/>
      <c r="EA999" s="26"/>
      <c r="EB999" s="26"/>
      <c r="EC999" s="26"/>
      <c r="ED999" s="26"/>
      <c r="EE999" s="26"/>
    </row>
    <row r="1000" spans="1:135" ht="18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  <c r="CV1000" s="26"/>
      <c r="CW1000" s="26"/>
      <c r="CX1000" s="26"/>
      <c r="CY1000" s="26"/>
      <c r="CZ1000" s="26"/>
      <c r="DA1000" s="26"/>
      <c r="DB1000" s="26"/>
      <c r="DC1000" s="26"/>
      <c r="DD1000" s="26"/>
      <c r="DE1000" s="26"/>
      <c r="DF1000" s="26"/>
      <c r="DG1000" s="26"/>
      <c r="DH1000" s="26"/>
      <c r="DI1000" s="26"/>
      <c r="DJ1000" s="26"/>
      <c r="DK1000" s="26"/>
      <c r="DL1000" s="26"/>
      <c r="DM1000" s="26"/>
      <c r="DN1000" s="26"/>
      <c r="DO1000" s="26"/>
      <c r="DP1000" s="26"/>
      <c r="DQ1000" s="26"/>
      <c r="DR1000" s="26"/>
      <c r="DS1000" s="26"/>
      <c r="DT1000" s="26"/>
      <c r="DU1000" s="26"/>
      <c r="DV1000" s="26"/>
      <c r="DW1000" s="26"/>
      <c r="DX1000" s="26"/>
      <c r="DY1000" s="26"/>
      <c r="DZ1000" s="26"/>
      <c r="EA1000" s="26"/>
      <c r="EB1000" s="26"/>
      <c r="EC1000" s="26"/>
      <c r="ED1000" s="26"/>
      <c r="EE1000" s="26"/>
    </row>
  </sheetData>
  <mergeCells count="1">
    <mergeCell ref="A4:A5"/>
  </mergeCells>
  <phoneticPr fontId="11" type="noConversion"/>
  <pageMargins left="0.19685039370078741" right="0.11811023622047245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A129" workbookViewId="0">
      <selection activeCell="A147" sqref="A147:A158"/>
    </sheetView>
  </sheetViews>
  <sheetFormatPr defaultColWidth="14.42578125" defaultRowHeight="15" customHeight="1"/>
  <cols>
    <col min="1" max="1" width="10" customWidth="1"/>
    <col min="2" max="2" width="7.28515625" customWidth="1"/>
    <col min="3" max="3" width="12.7109375" customWidth="1"/>
    <col min="4" max="26" width="8.7109375" customWidth="1"/>
  </cols>
  <sheetData>
    <row r="1" spans="1:15">
      <c r="A1" s="6" t="s">
        <v>154</v>
      </c>
    </row>
    <row r="2" spans="1:15" ht="21">
      <c r="A2" s="7" t="s">
        <v>155</v>
      </c>
      <c r="B2" s="7" t="s">
        <v>156</v>
      </c>
      <c r="C2" s="8" t="s">
        <v>157</v>
      </c>
      <c r="D2" s="9" t="str">
        <f>"1"</f>
        <v>1</v>
      </c>
      <c r="E2" s="9" t="str">
        <f>"2"</f>
        <v>2</v>
      </c>
      <c r="F2" s="9" t="str">
        <f>"3"</f>
        <v>3</v>
      </c>
      <c r="G2" s="9" t="str">
        <f>"4"</f>
        <v>4</v>
      </c>
      <c r="H2" s="9" t="str">
        <f>"5"</f>
        <v>5</v>
      </c>
      <c r="I2" s="9" t="str">
        <f>"6"</f>
        <v>6</v>
      </c>
      <c r="J2" s="9" t="str">
        <f>"7"</f>
        <v>7</v>
      </c>
      <c r="K2" s="9" t="str">
        <f>"8"</f>
        <v>8</v>
      </c>
      <c r="L2" s="9" t="str">
        <f>"9"</f>
        <v>9</v>
      </c>
      <c r="M2" s="9">
        <v>0</v>
      </c>
      <c r="N2" s="9" t="str">
        <f>"T"</f>
        <v>T</v>
      </c>
      <c r="O2" s="10" t="s">
        <v>148</v>
      </c>
    </row>
    <row r="3" spans="1:15" ht="16.5">
      <c r="A3" s="11">
        <v>2014</v>
      </c>
      <c r="B3" s="11" t="s">
        <v>158</v>
      </c>
      <c r="C3" s="12">
        <f t="shared" ref="C3:C91" si="0">SUM(D3:O3)</f>
        <v>22260</v>
      </c>
      <c r="D3" s="1">
        <v>373</v>
      </c>
      <c r="E3" s="1">
        <v>998</v>
      </c>
      <c r="F3" s="1">
        <v>2325</v>
      </c>
      <c r="G3" s="1">
        <v>3864</v>
      </c>
      <c r="H3" s="1">
        <v>3852</v>
      </c>
      <c r="I3" s="1">
        <v>152</v>
      </c>
      <c r="J3" s="1">
        <v>1228</v>
      </c>
      <c r="K3" s="1">
        <v>1850</v>
      </c>
      <c r="L3" s="1">
        <v>7614</v>
      </c>
      <c r="M3" s="1"/>
      <c r="N3" s="1">
        <v>4</v>
      </c>
      <c r="O3" s="1">
        <v>0</v>
      </c>
    </row>
    <row r="4" spans="1:15" ht="16.5">
      <c r="A4" s="11">
        <v>2014</v>
      </c>
      <c r="B4" s="11" t="s">
        <v>159</v>
      </c>
      <c r="C4" s="12">
        <f t="shared" si="0"/>
        <v>26286</v>
      </c>
      <c r="D4" s="1">
        <v>531</v>
      </c>
      <c r="E4" s="1">
        <v>1191</v>
      </c>
      <c r="F4" s="1">
        <v>2908</v>
      </c>
      <c r="G4" s="1">
        <v>5054</v>
      </c>
      <c r="H4" s="1">
        <v>5050</v>
      </c>
      <c r="I4" s="1">
        <v>55</v>
      </c>
      <c r="J4" s="1">
        <v>1377</v>
      </c>
      <c r="K4" s="1">
        <v>1593</v>
      </c>
      <c r="L4" s="1">
        <v>8522</v>
      </c>
      <c r="M4" s="1"/>
      <c r="N4" s="1">
        <v>5</v>
      </c>
      <c r="O4" s="1"/>
    </row>
    <row r="5" spans="1:15" ht="16.5">
      <c r="A5" s="11">
        <v>2014</v>
      </c>
      <c r="B5" s="11" t="s">
        <v>160</v>
      </c>
      <c r="C5" s="12">
        <f t="shared" si="0"/>
        <v>30806</v>
      </c>
      <c r="D5" s="1">
        <v>555</v>
      </c>
      <c r="E5" s="1">
        <v>1464</v>
      </c>
      <c r="F5" s="1">
        <v>3525</v>
      </c>
      <c r="G5" s="1">
        <v>5737</v>
      </c>
      <c r="H5" s="1">
        <v>5989</v>
      </c>
      <c r="I5" s="1">
        <v>53</v>
      </c>
      <c r="J5" s="1">
        <v>1444</v>
      </c>
      <c r="K5" s="1">
        <v>2200</v>
      </c>
      <c r="L5" s="1">
        <v>9834</v>
      </c>
      <c r="M5" s="1"/>
      <c r="N5" s="1">
        <v>5</v>
      </c>
      <c r="O5" s="1"/>
    </row>
    <row r="6" spans="1:15" ht="16.5">
      <c r="A6" s="11">
        <v>2014</v>
      </c>
      <c r="B6" s="11" t="s">
        <v>161</v>
      </c>
      <c r="C6" s="12">
        <f t="shared" si="0"/>
        <v>33290</v>
      </c>
      <c r="D6" s="1">
        <v>558</v>
      </c>
      <c r="E6" s="1">
        <v>1591</v>
      </c>
      <c r="F6" s="1">
        <v>3500</v>
      </c>
      <c r="G6" s="1">
        <v>6120</v>
      </c>
      <c r="H6" s="1">
        <v>5866</v>
      </c>
      <c r="I6" s="1">
        <v>50</v>
      </c>
      <c r="J6" s="1">
        <v>1648</v>
      </c>
      <c r="K6" s="1">
        <v>2594</v>
      </c>
      <c r="L6" s="1">
        <v>11282</v>
      </c>
      <c r="M6" s="1"/>
      <c r="N6" s="1">
        <v>81</v>
      </c>
      <c r="O6" s="1"/>
    </row>
    <row r="7" spans="1:15" ht="16.5">
      <c r="A7" s="11">
        <v>2014</v>
      </c>
      <c r="B7" s="11" t="s">
        <v>162</v>
      </c>
      <c r="C7" s="12">
        <f t="shared" si="0"/>
        <v>27256</v>
      </c>
      <c r="D7" s="1">
        <v>499</v>
      </c>
      <c r="E7" s="1">
        <v>1222</v>
      </c>
      <c r="F7" s="1">
        <v>3111</v>
      </c>
      <c r="G7" s="1">
        <v>4790</v>
      </c>
      <c r="H7" s="1">
        <v>5151</v>
      </c>
      <c r="I7" s="1">
        <v>63</v>
      </c>
      <c r="J7" s="1">
        <v>1698</v>
      </c>
      <c r="K7" s="1">
        <v>1847</v>
      </c>
      <c r="L7" s="1">
        <v>8874</v>
      </c>
      <c r="M7" s="1"/>
      <c r="N7" s="1">
        <v>1</v>
      </c>
      <c r="O7" s="1"/>
    </row>
    <row r="8" spans="1:15" ht="16.5">
      <c r="A8" s="11">
        <v>2014</v>
      </c>
      <c r="B8" s="11" t="s">
        <v>163</v>
      </c>
      <c r="C8" s="12">
        <f t="shared" si="0"/>
        <v>37833</v>
      </c>
      <c r="D8" s="1">
        <v>496</v>
      </c>
      <c r="E8" s="1">
        <v>1982</v>
      </c>
      <c r="F8" s="1">
        <v>4198</v>
      </c>
      <c r="G8" s="1">
        <v>7348</v>
      </c>
      <c r="H8" s="1">
        <v>6729</v>
      </c>
      <c r="I8" s="1">
        <v>94</v>
      </c>
      <c r="J8" s="1">
        <v>1854</v>
      </c>
      <c r="K8" s="1">
        <v>1748</v>
      </c>
      <c r="L8" s="1">
        <v>13381</v>
      </c>
      <c r="M8" s="1"/>
      <c r="N8" s="1">
        <v>3</v>
      </c>
      <c r="O8" s="1"/>
    </row>
    <row r="9" spans="1:15" ht="16.5">
      <c r="A9" s="11">
        <v>2014</v>
      </c>
      <c r="B9" s="11" t="s">
        <v>164</v>
      </c>
      <c r="C9" s="12">
        <f t="shared" si="0"/>
        <v>35369</v>
      </c>
      <c r="D9" s="1">
        <v>623</v>
      </c>
      <c r="E9" s="1">
        <v>1671</v>
      </c>
      <c r="F9" s="1">
        <v>3873</v>
      </c>
      <c r="G9" s="1">
        <v>6672</v>
      </c>
      <c r="H9" s="1">
        <v>7224</v>
      </c>
      <c r="I9" s="1">
        <v>89</v>
      </c>
      <c r="J9" s="1">
        <v>1954</v>
      </c>
      <c r="K9" s="1">
        <v>2316</v>
      </c>
      <c r="L9" s="1">
        <v>10942</v>
      </c>
      <c r="M9" s="1"/>
      <c r="N9" s="1">
        <v>5</v>
      </c>
      <c r="O9" s="1"/>
    </row>
    <row r="10" spans="1:15" ht="16.5">
      <c r="A10" s="11">
        <v>2014</v>
      </c>
      <c r="B10" s="11" t="s">
        <v>165</v>
      </c>
      <c r="C10" s="12">
        <f t="shared" si="0"/>
        <v>44380</v>
      </c>
      <c r="D10" s="1">
        <v>627</v>
      </c>
      <c r="E10" s="1">
        <v>2005</v>
      </c>
      <c r="F10" s="1">
        <v>4946</v>
      </c>
      <c r="G10" s="1">
        <v>6981</v>
      </c>
      <c r="H10" s="1">
        <v>7588</v>
      </c>
      <c r="I10" s="1">
        <v>192</v>
      </c>
      <c r="J10" s="1">
        <v>1865</v>
      </c>
      <c r="K10" s="1">
        <v>3245</v>
      </c>
      <c r="L10" s="1">
        <v>16931</v>
      </c>
      <c r="M10" s="1"/>
      <c r="N10" s="1">
        <v>0</v>
      </c>
      <c r="O10" s="1"/>
    </row>
    <row r="11" spans="1:15" ht="16.5">
      <c r="A11" s="11">
        <v>2014</v>
      </c>
      <c r="B11" s="11" t="s">
        <v>166</v>
      </c>
      <c r="C11" s="12">
        <f t="shared" si="0"/>
        <v>53144</v>
      </c>
      <c r="D11" s="1">
        <v>755</v>
      </c>
      <c r="E11" s="1">
        <v>2421</v>
      </c>
      <c r="F11" s="1">
        <v>5464</v>
      </c>
      <c r="G11" s="1">
        <v>9084</v>
      </c>
      <c r="H11" s="1">
        <v>8859</v>
      </c>
      <c r="I11" s="1">
        <v>77</v>
      </c>
      <c r="J11" s="1">
        <v>2782</v>
      </c>
      <c r="K11" s="1">
        <v>3689</v>
      </c>
      <c r="L11" s="1">
        <v>19993</v>
      </c>
      <c r="M11" s="1"/>
      <c r="N11" s="1">
        <v>20</v>
      </c>
      <c r="O11" s="1"/>
    </row>
    <row r="12" spans="1:15" ht="16.5">
      <c r="A12" s="11">
        <v>2014</v>
      </c>
      <c r="B12" s="11" t="s">
        <v>167</v>
      </c>
      <c r="C12" s="12">
        <f t="shared" si="0"/>
        <v>23683</v>
      </c>
      <c r="D12" s="1">
        <v>393</v>
      </c>
      <c r="E12" s="1">
        <v>894</v>
      </c>
      <c r="F12" s="1">
        <v>2477</v>
      </c>
      <c r="G12" s="1">
        <v>3986</v>
      </c>
      <c r="H12" s="1">
        <v>4482</v>
      </c>
      <c r="I12" s="1">
        <v>25</v>
      </c>
      <c r="J12" s="1">
        <v>1105</v>
      </c>
      <c r="K12" s="1">
        <v>1250</v>
      </c>
      <c r="L12" s="1">
        <v>9070</v>
      </c>
      <c r="M12" s="1"/>
      <c r="N12" s="1">
        <v>1</v>
      </c>
      <c r="O12" s="1"/>
    </row>
    <row r="13" spans="1:15" ht="16.5">
      <c r="A13" s="11">
        <v>2014</v>
      </c>
      <c r="B13" s="11" t="s">
        <v>168</v>
      </c>
      <c r="C13" s="12">
        <f t="shared" si="0"/>
        <v>32931</v>
      </c>
      <c r="D13" s="1">
        <v>521</v>
      </c>
      <c r="E13" s="1">
        <v>1536</v>
      </c>
      <c r="F13" s="1">
        <v>3432</v>
      </c>
      <c r="G13" s="1">
        <v>5718</v>
      </c>
      <c r="H13" s="1">
        <v>6642</v>
      </c>
      <c r="I13" s="1">
        <v>66</v>
      </c>
      <c r="J13" s="1">
        <v>1690</v>
      </c>
      <c r="K13" s="1">
        <v>1949</v>
      </c>
      <c r="L13" s="1">
        <v>11376</v>
      </c>
      <c r="M13" s="1"/>
      <c r="N13" s="1">
        <v>1</v>
      </c>
      <c r="O13" s="1"/>
    </row>
    <row r="14" spans="1:15" ht="16.5">
      <c r="A14" s="11">
        <v>2014</v>
      </c>
      <c r="B14" s="11" t="s">
        <v>169</v>
      </c>
      <c r="C14" s="12">
        <f t="shared" si="0"/>
        <v>30083</v>
      </c>
      <c r="D14" s="1">
        <v>476</v>
      </c>
      <c r="E14" s="1">
        <v>1148</v>
      </c>
      <c r="F14" s="1">
        <v>3285</v>
      </c>
      <c r="G14" s="1">
        <v>5255</v>
      </c>
      <c r="H14" s="1">
        <v>6622</v>
      </c>
      <c r="I14" s="1">
        <v>190</v>
      </c>
      <c r="J14" s="1">
        <v>1407</v>
      </c>
      <c r="K14" s="1">
        <v>1900</v>
      </c>
      <c r="L14" s="1">
        <v>9769</v>
      </c>
      <c r="M14" s="1"/>
      <c r="N14" s="1">
        <v>31</v>
      </c>
      <c r="O14" s="1"/>
    </row>
    <row r="15" spans="1:15" ht="16.5">
      <c r="A15" s="11">
        <v>2015</v>
      </c>
      <c r="B15" s="11" t="s">
        <v>158</v>
      </c>
      <c r="C15" s="12">
        <f t="shared" si="0"/>
        <v>29678</v>
      </c>
      <c r="D15" s="1">
        <v>557</v>
      </c>
      <c r="E15" s="1">
        <v>1252</v>
      </c>
      <c r="F15" s="1">
        <v>3304</v>
      </c>
      <c r="G15" s="1">
        <v>4967</v>
      </c>
      <c r="H15" s="1">
        <v>6193</v>
      </c>
      <c r="I15" s="1">
        <v>95</v>
      </c>
      <c r="J15" s="1">
        <v>1368</v>
      </c>
      <c r="K15" s="1">
        <v>2269</v>
      </c>
      <c r="L15" s="1">
        <v>9654</v>
      </c>
      <c r="M15" s="1"/>
      <c r="N15" s="1">
        <v>19</v>
      </c>
      <c r="O15" s="1"/>
    </row>
    <row r="16" spans="1:15" ht="16.5">
      <c r="A16" s="11">
        <v>2015</v>
      </c>
      <c r="B16" s="11" t="s">
        <v>159</v>
      </c>
      <c r="C16" s="12">
        <f t="shared" si="0"/>
        <v>35345</v>
      </c>
      <c r="D16" s="1">
        <v>545</v>
      </c>
      <c r="E16" s="1">
        <v>1717</v>
      </c>
      <c r="F16" s="1">
        <v>4198</v>
      </c>
      <c r="G16" s="1">
        <v>6096</v>
      </c>
      <c r="H16" s="1">
        <v>7549</v>
      </c>
      <c r="I16" s="1">
        <v>204</v>
      </c>
      <c r="J16" s="1">
        <v>2023</v>
      </c>
      <c r="K16" s="1">
        <v>1921</v>
      </c>
      <c r="L16" s="1">
        <v>11079</v>
      </c>
      <c r="M16" s="1"/>
      <c r="N16" s="1">
        <v>13</v>
      </c>
      <c r="O16" s="1"/>
    </row>
    <row r="17" spans="1:15" ht="16.5">
      <c r="A17" s="11">
        <v>2015</v>
      </c>
      <c r="B17" s="11" t="s">
        <v>160</v>
      </c>
      <c r="C17" s="12">
        <f t="shared" si="0"/>
        <v>33979</v>
      </c>
      <c r="D17" s="1">
        <v>538</v>
      </c>
      <c r="E17" s="1">
        <v>1575</v>
      </c>
      <c r="F17" s="1">
        <v>3471</v>
      </c>
      <c r="G17" s="1">
        <v>6310</v>
      </c>
      <c r="H17" s="1">
        <v>7250</v>
      </c>
      <c r="I17" s="1">
        <v>52</v>
      </c>
      <c r="J17" s="1">
        <v>1359</v>
      </c>
      <c r="K17" s="1">
        <v>2027</v>
      </c>
      <c r="L17" s="1">
        <v>11380</v>
      </c>
      <c r="M17" s="1"/>
      <c r="N17" s="1">
        <v>17</v>
      </c>
      <c r="O17" s="1"/>
    </row>
    <row r="18" spans="1:15" ht="16.5">
      <c r="A18" s="11">
        <v>2015</v>
      </c>
      <c r="B18" s="11" t="s">
        <v>161</v>
      </c>
      <c r="C18" s="12">
        <f t="shared" si="0"/>
        <v>31241</v>
      </c>
      <c r="D18" s="1">
        <v>400</v>
      </c>
      <c r="E18" s="1">
        <v>1532</v>
      </c>
      <c r="F18" s="1">
        <v>3391</v>
      </c>
      <c r="G18" s="1">
        <v>5194</v>
      </c>
      <c r="H18" s="1">
        <v>6313</v>
      </c>
      <c r="I18" s="1">
        <v>106</v>
      </c>
      <c r="J18" s="1">
        <v>1664</v>
      </c>
      <c r="K18" s="1">
        <v>1465</v>
      </c>
      <c r="L18" s="1">
        <v>11140</v>
      </c>
      <c r="M18" s="1"/>
      <c r="N18" s="1">
        <v>36</v>
      </c>
      <c r="O18" s="1"/>
    </row>
    <row r="19" spans="1:15" ht="16.5">
      <c r="A19" s="11">
        <v>2015</v>
      </c>
      <c r="B19" s="11" t="s">
        <v>162</v>
      </c>
      <c r="C19" s="12">
        <f t="shared" si="0"/>
        <v>35352</v>
      </c>
      <c r="D19" s="1">
        <v>557</v>
      </c>
      <c r="E19" s="1">
        <v>1971</v>
      </c>
      <c r="F19" s="1">
        <v>3815</v>
      </c>
      <c r="G19" s="1">
        <v>6239</v>
      </c>
      <c r="H19" s="1">
        <v>7060</v>
      </c>
      <c r="I19" s="1">
        <v>77</v>
      </c>
      <c r="J19" s="1">
        <v>1461</v>
      </c>
      <c r="K19" s="1">
        <v>1857</v>
      </c>
      <c r="L19" s="1">
        <v>12288</v>
      </c>
      <c r="M19" s="1"/>
      <c r="N19" s="1">
        <v>27</v>
      </c>
      <c r="O19" s="1"/>
    </row>
    <row r="20" spans="1:15" ht="16.5">
      <c r="A20" s="11">
        <v>2015</v>
      </c>
      <c r="B20" s="11" t="s">
        <v>163</v>
      </c>
      <c r="C20" s="12">
        <f t="shared" si="0"/>
        <v>45337</v>
      </c>
      <c r="D20" s="1">
        <v>1007</v>
      </c>
      <c r="E20" s="1">
        <v>2323</v>
      </c>
      <c r="F20" s="1">
        <v>4618</v>
      </c>
      <c r="G20" s="1">
        <v>8191</v>
      </c>
      <c r="H20" s="1">
        <v>8410</v>
      </c>
      <c r="I20" s="1">
        <v>86</v>
      </c>
      <c r="J20" s="1">
        <v>2267</v>
      </c>
      <c r="K20" s="1">
        <v>3365</v>
      </c>
      <c r="L20" s="1">
        <v>15050</v>
      </c>
      <c r="M20" s="1"/>
      <c r="N20" s="1">
        <v>20</v>
      </c>
      <c r="O20" s="1"/>
    </row>
    <row r="21" spans="1:15" ht="15.75" customHeight="1">
      <c r="A21" s="11">
        <v>2015</v>
      </c>
      <c r="B21" s="11" t="s">
        <v>164</v>
      </c>
      <c r="C21" s="12">
        <f t="shared" si="0"/>
        <v>47867</v>
      </c>
      <c r="D21" s="1">
        <v>770</v>
      </c>
      <c r="E21" s="1">
        <v>2687</v>
      </c>
      <c r="F21" s="1">
        <v>4837</v>
      </c>
      <c r="G21" s="1">
        <v>7901</v>
      </c>
      <c r="H21" s="1">
        <v>8128</v>
      </c>
      <c r="I21" s="1">
        <v>135</v>
      </c>
      <c r="J21" s="1">
        <v>2229</v>
      </c>
      <c r="K21" s="1">
        <v>3115</v>
      </c>
      <c r="L21" s="1">
        <v>18036</v>
      </c>
      <c r="M21" s="1"/>
      <c r="N21" s="1">
        <v>29</v>
      </c>
      <c r="O21" s="1"/>
    </row>
    <row r="22" spans="1:15" ht="15.75" customHeight="1">
      <c r="A22" s="11">
        <v>2015</v>
      </c>
      <c r="B22" s="11" t="s">
        <v>165</v>
      </c>
      <c r="C22" s="12">
        <f t="shared" si="0"/>
        <v>36649</v>
      </c>
      <c r="D22" s="1">
        <v>532</v>
      </c>
      <c r="E22" s="1">
        <v>1764</v>
      </c>
      <c r="F22" s="1">
        <v>3672</v>
      </c>
      <c r="G22" s="1">
        <v>6268</v>
      </c>
      <c r="H22" s="1">
        <v>6876</v>
      </c>
      <c r="I22" s="1">
        <v>36</v>
      </c>
      <c r="J22" s="1">
        <v>2128</v>
      </c>
      <c r="K22" s="1">
        <v>3274</v>
      </c>
      <c r="L22" s="1">
        <v>12098</v>
      </c>
      <c r="M22" s="1"/>
      <c r="N22" s="1">
        <v>1</v>
      </c>
      <c r="O22" s="1"/>
    </row>
    <row r="23" spans="1:15" ht="15.75" customHeight="1">
      <c r="A23" s="11">
        <v>2015</v>
      </c>
      <c r="B23" s="11" t="s">
        <v>166</v>
      </c>
      <c r="C23" s="12">
        <f t="shared" si="0"/>
        <v>35562</v>
      </c>
      <c r="D23" s="1">
        <v>559</v>
      </c>
      <c r="E23" s="1">
        <v>1840</v>
      </c>
      <c r="F23" s="1">
        <v>3909</v>
      </c>
      <c r="G23" s="1">
        <v>5771</v>
      </c>
      <c r="H23" s="1">
        <v>6213</v>
      </c>
      <c r="I23" s="1">
        <v>64</v>
      </c>
      <c r="J23" s="1">
        <v>1769</v>
      </c>
      <c r="K23" s="1">
        <v>2066</v>
      </c>
      <c r="L23" s="1">
        <v>13351</v>
      </c>
      <c r="M23" s="1"/>
      <c r="N23" s="1">
        <v>20</v>
      </c>
      <c r="O23" s="1"/>
    </row>
    <row r="24" spans="1:15" ht="15.75" customHeight="1">
      <c r="A24" s="11">
        <v>2015</v>
      </c>
      <c r="B24" s="11" t="s">
        <v>167</v>
      </c>
      <c r="C24" s="12">
        <f t="shared" si="0"/>
        <v>26758</v>
      </c>
      <c r="D24" s="1">
        <v>691</v>
      </c>
      <c r="E24" s="1">
        <v>1145</v>
      </c>
      <c r="F24" s="1">
        <v>2783</v>
      </c>
      <c r="G24" s="1">
        <v>4605</v>
      </c>
      <c r="H24" s="1">
        <v>5058</v>
      </c>
      <c r="I24" s="1">
        <v>65</v>
      </c>
      <c r="J24" s="1">
        <v>1406</v>
      </c>
      <c r="K24" s="1">
        <v>1684</v>
      </c>
      <c r="L24" s="1">
        <v>9316</v>
      </c>
      <c r="M24" s="1"/>
      <c r="N24" s="1">
        <v>5</v>
      </c>
      <c r="O24" s="1"/>
    </row>
    <row r="25" spans="1:15" ht="15.75" customHeight="1">
      <c r="A25" s="11">
        <v>2015</v>
      </c>
      <c r="B25" s="11" t="s">
        <v>168</v>
      </c>
      <c r="C25" s="12">
        <f t="shared" si="0"/>
        <v>35593</v>
      </c>
      <c r="D25" s="1">
        <v>638</v>
      </c>
      <c r="E25" s="1">
        <v>1753</v>
      </c>
      <c r="F25" s="1">
        <v>3764</v>
      </c>
      <c r="G25" s="1">
        <v>6783</v>
      </c>
      <c r="H25" s="1">
        <v>6614</v>
      </c>
      <c r="I25" s="1">
        <v>184</v>
      </c>
      <c r="J25" s="1">
        <v>1669</v>
      </c>
      <c r="K25" s="1">
        <v>2206</v>
      </c>
      <c r="L25" s="1">
        <v>11960</v>
      </c>
      <c r="M25" s="1"/>
      <c r="N25" s="1">
        <v>22</v>
      </c>
      <c r="O25" s="1"/>
    </row>
    <row r="26" spans="1:15" ht="15.75" customHeight="1">
      <c r="A26" s="11">
        <v>2015</v>
      </c>
      <c r="B26" s="11" t="s">
        <v>169</v>
      </c>
      <c r="C26" s="12">
        <f t="shared" si="0"/>
        <v>30451</v>
      </c>
      <c r="D26" s="1">
        <v>574</v>
      </c>
      <c r="E26" s="1">
        <v>1318</v>
      </c>
      <c r="F26" s="1">
        <v>3541</v>
      </c>
      <c r="G26" s="1">
        <v>5243</v>
      </c>
      <c r="H26" s="1">
        <v>6059</v>
      </c>
      <c r="I26" s="1">
        <v>64</v>
      </c>
      <c r="J26" s="1">
        <v>1426</v>
      </c>
      <c r="K26" s="1">
        <v>1789</v>
      </c>
      <c r="L26" s="1">
        <v>10422</v>
      </c>
      <c r="M26" s="1"/>
      <c r="N26" s="1">
        <v>15</v>
      </c>
      <c r="O26" s="1"/>
    </row>
    <row r="27" spans="1:15" ht="15.75" customHeight="1">
      <c r="A27" s="11">
        <v>2016</v>
      </c>
      <c r="B27" s="11" t="s">
        <v>158</v>
      </c>
      <c r="C27" s="12">
        <f t="shared" si="0"/>
        <v>30956</v>
      </c>
      <c r="D27" s="1">
        <v>644</v>
      </c>
      <c r="E27" s="1">
        <v>1269</v>
      </c>
      <c r="F27" s="1">
        <v>3389</v>
      </c>
      <c r="G27" s="1">
        <v>5426</v>
      </c>
      <c r="H27" s="1">
        <v>6083</v>
      </c>
      <c r="I27" s="1">
        <v>102</v>
      </c>
      <c r="J27" s="1">
        <v>1436</v>
      </c>
      <c r="K27" s="1">
        <v>2689</v>
      </c>
      <c r="L27" s="1">
        <v>9911</v>
      </c>
      <c r="M27" s="1"/>
      <c r="N27" s="1">
        <v>7</v>
      </c>
      <c r="O27" s="1"/>
    </row>
    <row r="28" spans="1:15" ht="15.75" customHeight="1">
      <c r="A28" s="11">
        <v>2016</v>
      </c>
      <c r="B28" s="11" t="s">
        <v>159</v>
      </c>
      <c r="C28" s="12">
        <f t="shared" si="0"/>
        <v>30436</v>
      </c>
      <c r="D28" s="1">
        <v>633</v>
      </c>
      <c r="E28" s="1">
        <v>1309</v>
      </c>
      <c r="F28" s="1">
        <v>3372</v>
      </c>
      <c r="G28" s="1">
        <v>5326</v>
      </c>
      <c r="H28" s="1">
        <v>5747</v>
      </c>
      <c r="I28" s="1">
        <v>72</v>
      </c>
      <c r="J28" s="1">
        <v>1433</v>
      </c>
      <c r="K28" s="1">
        <v>1754</v>
      </c>
      <c r="L28" s="1">
        <v>10779</v>
      </c>
      <c r="M28" s="1"/>
      <c r="N28" s="1">
        <v>11</v>
      </c>
      <c r="O28" s="1"/>
    </row>
    <row r="29" spans="1:15" ht="15.75" customHeight="1">
      <c r="A29" s="11">
        <v>2016</v>
      </c>
      <c r="B29" s="11" t="s">
        <v>160</v>
      </c>
      <c r="C29" s="12">
        <f t="shared" si="0"/>
        <v>34836</v>
      </c>
      <c r="D29" s="1">
        <v>567</v>
      </c>
      <c r="E29" s="1">
        <v>1400</v>
      </c>
      <c r="F29" s="1">
        <v>3385</v>
      </c>
      <c r="G29" s="1">
        <v>5493</v>
      </c>
      <c r="H29" s="1">
        <v>5974</v>
      </c>
      <c r="I29" s="1">
        <v>56</v>
      </c>
      <c r="J29" s="1">
        <v>1689</v>
      </c>
      <c r="K29" s="1">
        <v>2423</v>
      </c>
      <c r="L29" s="1">
        <v>13846</v>
      </c>
      <c r="M29" s="1"/>
      <c r="N29" s="1">
        <v>3</v>
      </c>
      <c r="O29" s="1"/>
    </row>
    <row r="30" spans="1:15" ht="15.75" customHeight="1">
      <c r="A30" s="11">
        <v>2016</v>
      </c>
      <c r="B30" s="11" t="s">
        <v>161</v>
      </c>
      <c r="C30" s="12">
        <f t="shared" si="0"/>
        <v>30711</v>
      </c>
      <c r="D30" s="1">
        <v>642</v>
      </c>
      <c r="E30" s="1">
        <v>1212</v>
      </c>
      <c r="F30" s="1">
        <v>3407</v>
      </c>
      <c r="G30" s="1">
        <v>5140</v>
      </c>
      <c r="H30" s="1">
        <v>5431</v>
      </c>
      <c r="I30" s="1">
        <v>56</v>
      </c>
      <c r="J30" s="1">
        <v>1348</v>
      </c>
      <c r="K30" s="1">
        <v>1432</v>
      </c>
      <c r="L30" s="1">
        <v>12025</v>
      </c>
      <c r="M30" s="1"/>
      <c r="N30" s="1">
        <v>18</v>
      </c>
      <c r="O30" s="1"/>
    </row>
    <row r="31" spans="1:15" ht="15.75" customHeight="1">
      <c r="A31" s="11">
        <v>2016</v>
      </c>
      <c r="B31" s="11" t="s">
        <v>162</v>
      </c>
      <c r="C31" s="12">
        <f t="shared" si="0"/>
        <v>33589</v>
      </c>
      <c r="D31" s="1">
        <v>568</v>
      </c>
      <c r="E31" s="1">
        <v>1610</v>
      </c>
      <c r="F31" s="1">
        <v>3724</v>
      </c>
      <c r="G31" s="1">
        <v>5476</v>
      </c>
      <c r="H31" s="1">
        <v>6216</v>
      </c>
      <c r="I31" s="1">
        <v>85</v>
      </c>
      <c r="J31" s="1">
        <v>1492</v>
      </c>
      <c r="K31" s="1">
        <v>1779</v>
      </c>
      <c r="L31" s="1">
        <v>12637</v>
      </c>
      <c r="M31" s="1"/>
      <c r="N31" s="1">
        <v>2</v>
      </c>
      <c r="O31" s="1"/>
    </row>
    <row r="32" spans="1:15" ht="15.75" customHeight="1">
      <c r="A32" s="11">
        <v>2016</v>
      </c>
      <c r="B32" s="11" t="s">
        <v>163</v>
      </c>
      <c r="C32" s="12">
        <f t="shared" si="0"/>
        <v>33546</v>
      </c>
      <c r="D32" s="1">
        <v>588</v>
      </c>
      <c r="E32" s="1">
        <v>1797</v>
      </c>
      <c r="F32" s="1">
        <v>3980</v>
      </c>
      <c r="G32" s="1">
        <v>5738</v>
      </c>
      <c r="H32" s="1">
        <v>6606</v>
      </c>
      <c r="I32" s="1">
        <v>84</v>
      </c>
      <c r="J32" s="1">
        <v>1509</v>
      </c>
      <c r="K32" s="1">
        <v>1543</v>
      </c>
      <c r="L32" s="1">
        <v>11626</v>
      </c>
      <c r="M32" s="1"/>
      <c r="N32" s="1">
        <v>75</v>
      </c>
      <c r="O32" s="1"/>
    </row>
    <row r="33" spans="1:15" ht="15.75" customHeight="1">
      <c r="A33" s="11">
        <v>2016</v>
      </c>
      <c r="B33" s="11" t="s">
        <v>164</v>
      </c>
      <c r="C33" s="12">
        <f t="shared" si="0"/>
        <v>27126</v>
      </c>
      <c r="D33" s="1">
        <v>566</v>
      </c>
      <c r="E33" s="1">
        <v>1173</v>
      </c>
      <c r="F33" s="1">
        <v>2894</v>
      </c>
      <c r="G33" s="1">
        <v>4365</v>
      </c>
      <c r="H33" s="1">
        <v>4550</v>
      </c>
      <c r="I33" s="1">
        <v>65</v>
      </c>
      <c r="J33" s="1">
        <v>1263</v>
      </c>
      <c r="K33" s="1">
        <v>1486</v>
      </c>
      <c r="L33" s="1">
        <v>10764</v>
      </c>
      <c r="M33" s="1"/>
      <c r="N33" s="1">
        <v>0</v>
      </c>
      <c r="O33" s="1"/>
    </row>
    <row r="34" spans="1:15" ht="15.75" customHeight="1">
      <c r="A34" s="11">
        <v>2016</v>
      </c>
      <c r="B34" s="11" t="s">
        <v>165</v>
      </c>
      <c r="C34" s="12">
        <f t="shared" si="0"/>
        <v>26767</v>
      </c>
      <c r="D34" s="1">
        <v>581</v>
      </c>
      <c r="E34" s="1">
        <v>1386</v>
      </c>
      <c r="F34" s="1">
        <v>2878</v>
      </c>
      <c r="G34" s="1">
        <v>4130</v>
      </c>
      <c r="H34" s="1">
        <v>4943</v>
      </c>
      <c r="I34" s="1">
        <v>34</v>
      </c>
      <c r="J34" s="1">
        <v>1374</v>
      </c>
      <c r="K34" s="1">
        <v>1419</v>
      </c>
      <c r="L34" s="1">
        <v>10019</v>
      </c>
      <c r="M34" s="1"/>
      <c r="N34" s="1">
        <v>3</v>
      </c>
      <c r="O34" s="1"/>
    </row>
    <row r="35" spans="1:15" ht="15.75" customHeight="1">
      <c r="A35" s="11">
        <v>2016</v>
      </c>
      <c r="B35" s="11" t="s">
        <v>166</v>
      </c>
      <c r="C35" s="12">
        <f t="shared" si="0"/>
        <v>26515</v>
      </c>
      <c r="D35" s="1">
        <v>476</v>
      </c>
      <c r="E35" s="1">
        <v>1018</v>
      </c>
      <c r="F35" s="1">
        <v>3036</v>
      </c>
      <c r="G35" s="1">
        <v>3593</v>
      </c>
      <c r="H35" s="1">
        <v>4924</v>
      </c>
      <c r="I35" s="1">
        <v>80</v>
      </c>
      <c r="J35" s="1">
        <v>1277</v>
      </c>
      <c r="K35" s="1">
        <v>1901</v>
      </c>
      <c r="L35" s="1">
        <v>10209</v>
      </c>
      <c r="M35" s="1"/>
      <c r="N35" s="1">
        <v>1</v>
      </c>
      <c r="O35" s="1"/>
    </row>
    <row r="36" spans="1:15" ht="15.75" customHeight="1">
      <c r="A36" s="11">
        <v>2016</v>
      </c>
      <c r="B36" s="11" t="s">
        <v>167</v>
      </c>
      <c r="C36" s="12">
        <f t="shared" si="0"/>
        <v>15902</v>
      </c>
      <c r="D36" s="1">
        <v>373</v>
      </c>
      <c r="E36" s="1">
        <v>808</v>
      </c>
      <c r="F36" s="1">
        <v>1563</v>
      </c>
      <c r="G36" s="1">
        <v>2494</v>
      </c>
      <c r="H36" s="1">
        <v>3355</v>
      </c>
      <c r="I36" s="1">
        <v>19</v>
      </c>
      <c r="J36" s="1">
        <v>716</v>
      </c>
      <c r="K36" s="1">
        <v>922</v>
      </c>
      <c r="L36" s="1">
        <v>5652</v>
      </c>
      <c r="M36" s="1"/>
      <c r="N36" s="1">
        <v>0</v>
      </c>
      <c r="O36" s="1"/>
    </row>
    <row r="37" spans="1:15" ht="15.75" customHeight="1">
      <c r="A37" s="11">
        <v>2016</v>
      </c>
      <c r="B37" s="11" t="s">
        <v>168</v>
      </c>
      <c r="C37" s="12">
        <f t="shared" si="0"/>
        <v>20149</v>
      </c>
      <c r="D37" s="1">
        <v>432</v>
      </c>
      <c r="E37" s="1">
        <v>824</v>
      </c>
      <c r="F37" s="1">
        <v>2206</v>
      </c>
      <c r="G37" s="1">
        <v>3848</v>
      </c>
      <c r="H37" s="1">
        <v>3725</v>
      </c>
      <c r="I37" s="1">
        <v>61</v>
      </c>
      <c r="J37" s="1">
        <v>1004</v>
      </c>
      <c r="K37" s="1">
        <v>966</v>
      </c>
      <c r="L37" s="1">
        <v>7082</v>
      </c>
      <c r="M37" s="1"/>
      <c r="N37" s="1">
        <v>1</v>
      </c>
      <c r="O37" s="1"/>
    </row>
    <row r="38" spans="1:15" ht="15.75" customHeight="1">
      <c r="A38" s="11">
        <v>2016</v>
      </c>
      <c r="B38" s="11" t="s">
        <v>169</v>
      </c>
      <c r="C38" s="12">
        <f t="shared" si="0"/>
        <v>18451</v>
      </c>
      <c r="D38" s="1">
        <v>302</v>
      </c>
      <c r="E38" s="1">
        <v>748</v>
      </c>
      <c r="F38" s="1">
        <v>1976</v>
      </c>
      <c r="G38" s="1">
        <v>3073</v>
      </c>
      <c r="H38" s="1">
        <v>3800</v>
      </c>
      <c r="I38" s="1">
        <v>36</v>
      </c>
      <c r="J38" s="1">
        <v>907</v>
      </c>
      <c r="K38" s="1">
        <v>1147</v>
      </c>
      <c r="L38" s="1">
        <v>6458</v>
      </c>
      <c r="M38" s="1"/>
      <c r="N38" s="1">
        <v>4</v>
      </c>
      <c r="O38" s="1"/>
    </row>
    <row r="39" spans="1:15" ht="15.75" customHeight="1">
      <c r="A39" s="11">
        <v>2017</v>
      </c>
      <c r="B39" s="11" t="s">
        <v>158</v>
      </c>
      <c r="C39" s="12">
        <f t="shared" si="0"/>
        <v>22327</v>
      </c>
      <c r="D39" s="1">
        <v>388</v>
      </c>
      <c r="E39" s="1">
        <v>901</v>
      </c>
      <c r="F39" s="1">
        <v>2058</v>
      </c>
      <c r="G39" s="1">
        <v>3586</v>
      </c>
      <c r="H39" s="1">
        <v>4467</v>
      </c>
      <c r="I39" s="1">
        <v>47</v>
      </c>
      <c r="J39" s="1">
        <v>852</v>
      </c>
      <c r="K39" s="1">
        <v>1247</v>
      </c>
      <c r="L39" s="1">
        <v>8776</v>
      </c>
      <c r="M39" s="1"/>
      <c r="N39" s="1">
        <v>5</v>
      </c>
      <c r="O39" s="1"/>
    </row>
    <row r="40" spans="1:15" ht="15.75" customHeight="1">
      <c r="A40" s="11">
        <v>2017</v>
      </c>
      <c r="B40" s="11" t="s">
        <v>159</v>
      </c>
      <c r="C40" s="12">
        <f t="shared" si="0"/>
        <v>23617</v>
      </c>
      <c r="D40" s="1">
        <v>426</v>
      </c>
      <c r="E40" s="1">
        <v>1023</v>
      </c>
      <c r="F40" s="1">
        <v>2619</v>
      </c>
      <c r="G40" s="1">
        <v>4568</v>
      </c>
      <c r="H40" s="1">
        <v>4360</v>
      </c>
      <c r="I40" s="1">
        <v>49</v>
      </c>
      <c r="J40" s="1">
        <v>987</v>
      </c>
      <c r="K40" s="1">
        <v>1371</v>
      </c>
      <c r="L40" s="1">
        <v>8204</v>
      </c>
      <c r="M40" s="1"/>
      <c r="N40" s="1">
        <v>10</v>
      </c>
      <c r="O40" s="1"/>
    </row>
    <row r="41" spans="1:15" ht="15.75" customHeight="1">
      <c r="A41" s="11">
        <v>2017</v>
      </c>
      <c r="B41" s="11" t="s">
        <v>160</v>
      </c>
      <c r="C41" s="12">
        <f t="shared" si="0"/>
        <v>26209</v>
      </c>
      <c r="D41" s="1">
        <v>524</v>
      </c>
      <c r="E41" s="1">
        <v>909</v>
      </c>
      <c r="F41" s="1">
        <v>2862</v>
      </c>
      <c r="G41" s="1">
        <v>4572</v>
      </c>
      <c r="H41" s="1">
        <v>5094</v>
      </c>
      <c r="I41" s="1">
        <v>50</v>
      </c>
      <c r="J41" s="1">
        <v>1033</v>
      </c>
      <c r="K41" s="1">
        <v>1441</v>
      </c>
      <c r="L41" s="1">
        <v>9715</v>
      </c>
      <c r="M41" s="1"/>
      <c r="N41" s="1">
        <v>9</v>
      </c>
      <c r="O41" s="1"/>
    </row>
    <row r="42" spans="1:15" ht="15.75" customHeight="1">
      <c r="A42" s="11">
        <v>2017</v>
      </c>
      <c r="B42" s="11" t="s">
        <v>161</v>
      </c>
      <c r="C42" s="12">
        <f t="shared" si="0"/>
        <v>22778</v>
      </c>
      <c r="D42" s="1">
        <v>431</v>
      </c>
      <c r="E42" s="1">
        <v>738</v>
      </c>
      <c r="F42" s="1">
        <v>2389</v>
      </c>
      <c r="G42" s="1">
        <v>3558</v>
      </c>
      <c r="H42" s="1">
        <v>4052</v>
      </c>
      <c r="I42" s="1">
        <v>57</v>
      </c>
      <c r="J42" s="1">
        <v>952</v>
      </c>
      <c r="K42" s="1">
        <v>1120</v>
      </c>
      <c r="L42" s="1">
        <v>9466</v>
      </c>
      <c r="M42" s="1"/>
      <c r="N42" s="1">
        <v>15</v>
      </c>
      <c r="O42" s="1"/>
    </row>
    <row r="43" spans="1:15" ht="15.75" customHeight="1">
      <c r="A43" s="11">
        <v>2017</v>
      </c>
      <c r="B43" s="11" t="s">
        <v>162</v>
      </c>
      <c r="C43" s="12">
        <f t="shared" si="0"/>
        <v>29670</v>
      </c>
      <c r="D43" s="1">
        <v>499</v>
      </c>
      <c r="E43" s="1">
        <v>1130</v>
      </c>
      <c r="F43" s="1">
        <v>2683</v>
      </c>
      <c r="G43" s="1">
        <v>4775</v>
      </c>
      <c r="H43" s="1">
        <v>5085</v>
      </c>
      <c r="I43" s="1">
        <v>55</v>
      </c>
      <c r="J43" s="1">
        <v>1328</v>
      </c>
      <c r="K43" s="1">
        <v>1638</v>
      </c>
      <c r="L43" s="1">
        <v>12471</v>
      </c>
      <c r="M43" s="1"/>
      <c r="N43" s="1">
        <v>6</v>
      </c>
      <c r="O43" s="1"/>
    </row>
    <row r="44" spans="1:15" ht="15.75" customHeight="1">
      <c r="A44" s="11">
        <v>2017</v>
      </c>
      <c r="B44" s="11" t="s">
        <v>163</v>
      </c>
      <c r="C44" s="12">
        <f t="shared" si="0"/>
        <v>39036</v>
      </c>
      <c r="D44" s="1">
        <v>621</v>
      </c>
      <c r="E44" s="1">
        <v>1837</v>
      </c>
      <c r="F44" s="1">
        <v>4206</v>
      </c>
      <c r="G44" s="1">
        <v>6792</v>
      </c>
      <c r="H44" s="1">
        <v>8139</v>
      </c>
      <c r="I44" s="1">
        <v>98</v>
      </c>
      <c r="J44" s="1">
        <v>1480</v>
      </c>
      <c r="K44" s="1">
        <v>1876</v>
      </c>
      <c r="L44" s="1">
        <v>13983</v>
      </c>
      <c r="M44" s="1"/>
      <c r="N44" s="1">
        <v>4</v>
      </c>
      <c r="O44" s="1"/>
    </row>
    <row r="45" spans="1:15" ht="15.75" customHeight="1">
      <c r="A45" s="11">
        <v>2017</v>
      </c>
      <c r="B45" s="11" t="s">
        <v>164</v>
      </c>
      <c r="C45" s="12">
        <f t="shared" si="0"/>
        <v>34011</v>
      </c>
      <c r="D45" s="1">
        <v>538</v>
      </c>
      <c r="E45" s="1">
        <v>1517</v>
      </c>
      <c r="F45" s="1">
        <v>3717</v>
      </c>
      <c r="G45" s="1">
        <v>6147</v>
      </c>
      <c r="H45" s="1">
        <v>7435</v>
      </c>
      <c r="I45" s="1">
        <v>126</v>
      </c>
      <c r="J45" s="1">
        <v>1457</v>
      </c>
      <c r="K45" s="1">
        <v>2114</v>
      </c>
      <c r="L45" s="1">
        <v>10958</v>
      </c>
      <c r="M45" s="1"/>
      <c r="N45" s="1">
        <v>2</v>
      </c>
      <c r="O45" s="1"/>
    </row>
    <row r="46" spans="1:15" ht="15.75" customHeight="1">
      <c r="A46" s="11">
        <v>2017</v>
      </c>
      <c r="B46" s="11" t="s">
        <v>165</v>
      </c>
      <c r="C46" s="12">
        <f t="shared" si="0"/>
        <v>29117</v>
      </c>
      <c r="D46" s="1">
        <v>568</v>
      </c>
      <c r="E46" s="1">
        <v>1626</v>
      </c>
      <c r="F46" s="1">
        <v>3143</v>
      </c>
      <c r="G46" s="1">
        <v>4881</v>
      </c>
      <c r="H46" s="1">
        <v>6549</v>
      </c>
      <c r="I46" s="1">
        <v>82</v>
      </c>
      <c r="J46" s="1">
        <v>1179</v>
      </c>
      <c r="K46" s="1">
        <v>1205</v>
      </c>
      <c r="L46" s="1">
        <v>9870</v>
      </c>
      <c r="M46" s="1"/>
      <c r="N46" s="1">
        <v>14</v>
      </c>
      <c r="O46" s="1"/>
    </row>
    <row r="47" spans="1:15" ht="15.75" customHeight="1">
      <c r="A47" s="11">
        <v>2017</v>
      </c>
      <c r="B47" s="11" t="s">
        <v>166</v>
      </c>
      <c r="C47" s="12">
        <f t="shared" si="0"/>
        <v>30042</v>
      </c>
      <c r="D47" s="1">
        <v>698</v>
      </c>
      <c r="E47" s="1">
        <v>1335</v>
      </c>
      <c r="F47" s="1">
        <v>3275</v>
      </c>
      <c r="G47" s="1">
        <v>4979</v>
      </c>
      <c r="H47" s="1">
        <v>6453</v>
      </c>
      <c r="I47" s="1">
        <v>174</v>
      </c>
      <c r="J47" s="1">
        <v>1311</v>
      </c>
      <c r="K47" s="1">
        <v>1682</v>
      </c>
      <c r="L47" s="1">
        <v>10134</v>
      </c>
      <c r="M47" s="1"/>
      <c r="N47" s="1">
        <v>1</v>
      </c>
      <c r="O47" s="1"/>
    </row>
    <row r="48" spans="1:15" ht="15.75" customHeight="1">
      <c r="A48" s="11">
        <v>2017</v>
      </c>
      <c r="B48" s="11" t="s">
        <v>167</v>
      </c>
      <c r="C48" s="12">
        <f t="shared" si="0"/>
        <v>16295</v>
      </c>
      <c r="D48" s="1">
        <v>341</v>
      </c>
      <c r="E48" s="1">
        <v>690</v>
      </c>
      <c r="F48" s="1">
        <v>1554</v>
      </c>
      <c r="G48" s="1">
        <v>2962</v>
      </c>
      <c r="H48" s="1">
        <v>3154</v>
      </c>
      <c r="I48" s="1">
        <v>21</v>
      </c>
      <c r="J48" s="1">
        <v>692</v>
      </c>
      <c r="K48" s="1">
        <v>822</v>
      </c>
      <c r="L48" s="1">
        <v>6059</v>
      </c>
      <c r="M48" s="1"/>
      <c r="N48" s="1">
        <v>0</v>
      </c>
      <c r="O48" s="1"/>
    </row>
    <row r="49" spans="1:15" ht="15.75" customHeight="1">
      <c r="A49" s="11">
        <v>2017</v>
      </c>
      <c r="B49" s="11" t="s">
        <v>168</v>
      </c>
      <c r="C49" s="12">
        <f t="shared" si="0"/>
        <v>21079</v>
      </c>
      <c r="D49" s="1">
        <v>519</v>
      </c>
      <c r="E49" s="1">
        <v>771</v>
      </c>
      <c r="F49" s="1">
        <v>2103</v>
      </c>
      <c r="G49" s="1">
        <v>3849</v>
      </c>
      <c r="H49" s="1">
        <v>3890</v>
      </c>
      <c r="I49" s="1">
        <v>59</v>
      </c>
      <c r="J49" s="1">
        <v>955</v>
      </c>
      <c r="K49" s="1">
        <v>988</v>
      </c>
      <c r="L49" s="1">
        <v>7944</v>
      </c>
      <c r="M49" s="1"/>
      <c r="N49" s="1">
        <v>1</v>
      </c>
      <c r="O49" s="1"/>
    </row>
    <row r="50" spans="1:15" ht="15.75" customHeight="1">
      <c r="A50" s="11">
        <v>2017</v>
      </c>
      <c r="B50" s="11" t="s">
        <v>169</v>
      </c>
      <c r="C50" s="12">
        <f t="shared" si="0"/>
        <v>19366</v>
      </c>
      <c r="D50" s="1">
        <v>417</v>
      </c>
      <c r="E50" s="1">
        <v>709</v>
      </c>
      <c r="F50" s="1">
        <v>1822</v>
      </c>
      <c r="G50" s="1">
        <v>3399</v>
      </c>
      <c r="H50" s="1">
        <v>4138</v>
      </c>
      <c r="I50" s="1">
        <v>96</v>
      </c>
      <c r="J50" s="1">
        <v>990</v>
      </c>
      <c r="K50" s="1">
        <v>1117</v>
      </c>
      <c r="L50" s="1">
        <v>6678</v>
      </c>
      <c r="M50" s="1"/>
      <c r="N50" s="1">
        <v>0</v>
      </c>
      <c r="O50" s="1"/>
    </row>
    <row r="51" spans="1:15" ht="15.75" customHeight="1">
      <c r="A51" s="11">
        <v>2018</v>
      </c>
      <c r="B51" s="11" t="s">
        <v>158</v>
      </c>
      <c r="C51" s="12">
        <f t="shared" si="0"/>
        <v>24274</v>
      </c>
      <c r="D51" s="1">
        <v>498</v>
      </c>
      <c r="E51" s="1">
        <v>953</v>
      </c>
      <c r="F51" s="1">
        <v>2585</v>
      </c>
      <c r="G51" s="1">
        <v>4432</v>
      </c>
      <c r="H51" s="1">
        <v>5241</v>
      </c>
      <c r="I51" s="1">
        <v>50</v>
      </c>
      <c r="J51" s="1">
        <v>1068</v>
      </c>
      <c r="K51" s="1">
        <v>1705</v>
      </c>
      <c r="L51" s="1">
        <v>7702</v>
      </c>
      <c r="M51" s="1"/>
      <c r="N51" s="1">
        <v>40</v>
      </c>
      <c r="O51" s="1">
        <v>0</v>
      </c>
    </row>
    <row r="52" spans="1:15" ht="15.75" customHeight="1">
      <c r="A52" s="11">
        <v>2018</v>
      </c>
      <c r="B52" s="11" t="s">
        <v>159</v>
      </c>
      <c r="C52" s="12">
        <f t="shared" si="0"/>
        <v>24700</v>
      </c>
      <c r="D52" s="1">
        <v>494</v>
      </c>
      <c r="E52" s="1">
        <v>998</v>
      </c>
      <c r="F52" s="1">
        <v>2939</v>
      </c>
      <c r="G52" s="1">
        <v>4188</v>
      </c>
      <c r="H52" s="1">
        <v>5724</v>
      </c>
      <c r="I52" s="1">
        <v>99</v>
      </c>
      <c r="J52" s="1">
        <v>1006</v>
      </c>
      <c r="K52" s="1">
        <v>1156</v>
      </c>
      <c r="L52" s="1">
        <v>8076</v>
      </c>
      <c r="M52" s="1"/>
      <c r="N52" s="1">
        <v>20</v>
      </c>
      <c r="O52" s="1">
        <v>0</v>
      </c>
    </row>
    <row r="53" spans="1:15" ht="15.75" customHeight="1">
      <c r="A53" s="11">
        <v>2018</v>
      </c>
      <c r="B53" s="11" t="s">
        <v>160</v>
      </c>
      <c r="C53" s="12">
        <f t="shared" si="0"/>
        <v>25344</v>
      </c>
      <c r="D53" s="1">
        <v>597</v>
      </c>
      <c r="E53" s="1">
        <v>1039</v>
      </c>
      <c r="F53" s="1">
        <v>2908</v>
      </c>
      <c r="G53" s="1">
        <v>4256</v>
      </c>
      <c r="H53" s="1">
        <v>5704</v>
      </c>
      <c r="I53" s="1">
        <v>64</v>
      </c>
      <c r="J53" s="1">
        <v>916</v>
      </c>
      <c r="K53" s="1">
        <v>1139</v>
      </c>
      <c r="L53" s="1">
        <v>8629</v>
      </c>
      <c r="M53" s="1"/>
      <c r="N53" s="1">
        <v>92</v>
      </c>
      <c r="O53" s="1">
        <v>0</v>
      </c>
    </row>
    <row r="54" spans="1:15" ht="15.75" customHeight="1">
      <c r="A54" s="11">
        <v>2018</v>
      </c>
      <c r="B54" s="11" t="s">
        <v>161</v>
      </c>
      <c r="C54" s="12">
        <f t="shared" si="0"/>
        <v>25972</v>
      </c>
      <c r="D54" s="1">
        <v>499</v>
      </c>
      <c r="E54" s="1">
        <v>856</v>
      </c>
      <c r="F54" s="1">
        <v>2918</v>
      </c>
      <c r="G54" s="1">
        <v>4648</v>
      </c>
      <c r="H54" s="1">
        <v>5947</v>
      </c>
      <c r="I54" s="1">
        <v>31</v>
      </c>
      <c r="J54" s="1">
        <v>1174</v>
      </c>
      <c r="K54" s="1">
        <v>992</v>
      </c>
      <c r="L54" s="1">
        <v>8830</v>
      </c>
      <c r="M54" s="1"/>
      <c r="N54" s="1">
        <v>77</v>
      </c>
      <c r="O54" s="1">
        <v>0</v>
      </c>
    </row>
    <row r="55" spans="1:15" ht="15.75" customHeight="1">
      <c r="A55" s="11">
        <v>2018</v>
      </c>
      <c r="B55" s="11" t="s">
        <v>162</v>
      </c>
      <c r="C55" s="12">
        <f t="shared" si="0"/>
        <v>28665</v>
      </c>
      <c r="D55" s="1">
        <v>473</v>
      </c>
      <c r="E55" s="1">
        <v>1025</v>
      </c>
      <c r="F55" s="1">
        <v>3910</v>
      </c>
      <c r="G55" s="1">
        <v>5276</v>
      </c>
      <c r="H55" s="1">
        <v>4916</v>
      </c>
      <c r="I55" s="1">
        <v>81</v>
      </c>
      <c r="J55" s="1">
        <v>897</v>
      </c>
      <c r="K55" s="1">
        <v>1086</v>
      </c>
      <c r="L55" s="1">
        <v>10920</v>
      </c>
      <c r="M55" s="1"/>
      <c r="N55" s="1">
        <v>81</v>
      </c>
      <c r="O55" s="1">
        <v>0</v>
      </c>
    </row>
    <row r="56" spans="1:15" ht="15.75" customHeight="1">
      <c r="A56" s="11">
        <v>2018</v>
      </c>
      <c r="B56" s="11" t="s">
        <v>163</v>
      </c>
      <c r="C56" s="12">
        <f t="shared" si="0"/>
        <v>21972</v>
      </c>
      <c r="D56" s="1">
        <v>519</v>
      </c>
      <c r="E56" s="1">
        <v>738</v>
      </c>
      <c r="F56" s="1">
        <v>2451</v>
      </c>
      <c r="G56" s="1">
        <v>4116</v>
      </c>
      <c r="H56" s="1">
        <v>3831</v>
      </c>
      <c r="I56" s="1">
        <v>104</v>
      </c>
      <c r="J56" s="1">
        <v>944</v>
      </c>
      <c r="K56" s="1">
        <v>1806</v>
      </c>
      <c r="L56" s="1">
        <v>7463</v>
      </c>
      <c r="M56" s="1"/>
      <c r="N56" s="1">
        <v>0</v>
      </c>
      <c r="O56" s="1">
        <v>0</v>
      </c>
    </row>
    <row r="57" spans="1:15" ht="15.75" customHeight="1">
      <c r="A57" s="11">
        <v>2018</v>
      </c>
      <c r="B57" s="11" t="s">
        <v>164</v>
      </c>
      <c r="C57" s="12">
        <f t="shared" si="0"/>
        <v>18805</v>
      </c>
      <c r="D57" s="1">
        <v>384</v>
      </c>
      <c r="E57" s="1">
        <v>769</v>
      </c>
      <c r="F57" s="1">
        <v>1838</v>
      </c>
      <c r="G57" s="1">
        <v>3571</v>
      </c>
      <c r="H57" s="1">
        <v>3661</v>
      </c>
      <c r="I57" s="1">
        <v>42</v>
      </c>
      <c r="J57" s="1">
        <v>805</v>
      </c>
      <c r="K57" s="1">
        <v>1010</v>
      </c>
      <c r="L57" s="1">
        <v>6725</v>
      </c>
      <c r="M57" s="1"/>
      <c r="N57" s="1">
        <v>0</v>
      </c>
      <c r="O57" s="1">
        <v>0</v>
      </c>
    </row>
    <row r="58" spans="1:15" ht="15.75" customHeight="1">
      <c r="A58" s="11">
        <v>2018</v>
      </c>
      <c r="B58" s="11" t="s">
        <v>165</v>
      </c>
      <c r="C58" s="12">
        <f t="shared" si="0"/>
        <v>20710</v>
      </c>
      <c r="D58" s="1">
        <v>400</v>
      </c>
      <c r="E58" s="1">
        <v>793</v>
      </c>
      <c r="F58" s="1">
        <v>2276</v>
      </c>
      <c r="G58" s="1">
        <v>3473</v>
      </c>
      <c r="H58" s="1">
        <v>4511</v>
      </c>
      <c r="I58" s="1">
        <v>48</v>
      </c>
      <c r="J58" s="1">
        <v>914</v>
      </c>
      <c r="K58" s="1">
        <v>1652</v>
      </c>
      <c r="L58" s="1">
        <v>6643</v>
      </c>
      <c r="M58" s="1"/>
      <c r="N58" s="1">
        <v>0</v>
      </c>
      <c r="O58" s="1">
        <v>0</v>
      </c>
    </row>
    <row r="59" spans="1:15" ht="15.75" customHeight="1">
      <c r="A59" s="11">
        <v>2018</v>
      </c>
      <c r="B59" s="11" t="s">
        <v>166</v>
      </c>
      <c r="C59" s="12">
        <f t="shared" si="0"/>
        <v>20762</v>
      </c>
      <c r="D59" s="1">
        <v>505</v>
      </c>
      <c r="E59" s="1">
        <v>1018</v>
      </c>
      <c r="F59" s="1">
        <v>2262</v>
      </c>
      <c r="G59" s="1">
        <v>3234</v>
      </c>
      <c r="H59" s="1">
        <v>3388</v>
      </c>
      <c r="I59" s="1">
        <v>46</v>
      </c>
      <c r="J59" s="1">
        <v>710</v>
      </c>
      <c r="K59" s="1">
        <v>932</v>
      </c>
      <c r="L59" s="1">
        <v>8665</v>
      </c>
      <c r="M59" s="1"/>
      <c r="N59" s="1">
        <v>2</v>
      </c>
      <c r="O59" s="1">
        <v>0</v>
      </c>
    </row>
    <row r="60" spans="1:15" ht="15.75" customHeight="1">
      <c r="A60" s="11">
        <v>2018</v>
      </c>
      <c r="B60" s="11" t="s">
        <v>167</v>
      </c>
      <c r="C60" s="12">
        <f t="shared" si="0"/>
        <v>17228</v>
      </c>
      <c r="D60" s="1">
        <v>499</v>
      </c>
      <c r="E60" s="1">
        <v>649</v>
      </c>
      <c r="F60" s="1">
        <v>1610</v>
      </c>
      <c r="G60" s="1">
        <v>3125</v>
      </c>
      <c r="H60" s="1">
        <v>3670</v>
      </c>
      <c r="I60" s="1">
        <v>45</v>
      </c>
      <c r="J60" s="1">
        <v>754</v>
      </c>
      <c r="K60" s="1">
        <v>814</v>
      </c>
      <c r="L60" s="1">
        <v>6062</v>
      </c>
      <c r="M60" s="1"/>
      <c r="N60" s="1">
        <v>0</v>
      </c>
      <c r="O60" s="1">
        <v>0</v>
      </c>
    </row>
    <row r="61" spans="1:15" ht="15.75" customHeight="1">
      <c r="A61" s="11">
        <v>2018</v>
      </c>
      <c r="B61" s="11" t="s">
        <v>168</v>
      </c>
      <c r="C61" s="12">
        <f t="shared" si="0"/>
        <v>18404</v>
      </c>
      <c r="D61" s="1">
        <v>375</v>
      </c>
      <c r="E61" s="1">
        <v>630</v>
      </c>
      <c r="F61" s="1">
        <v>1858</v>
      </c>
      <c r="G61" s="1">
        <v>3622</v>
      </c>
      <c r="H61" s="1">
        <v>3983</v>
      </c>
      <c r="I61" s="1">
        <v>52</v>
      </c>
      <c r="J61" s="1">
        <v>941</v>
      </c>
      <c r="K61" s="1">
        <v>990</v>
      </c>
      <c r="L61" s="1">
        <v>5951</v>
      </c>
      <c r="M61" s="1"/>
      <c r="N61" s="1">
        <v>2</v>
      </c>
      <c r="O61" s="1">
        <v>0</v>
      </c>
    </row>
    <row r="62" spans="1:15" ht="15.75" customHeight="1">
      <c r="A62" s="11">
        <v>2018</v>
      </c>
      <c r="B62" s="11" t="s">
        <v>169</v>
      </c>
      <c r="C62" s="12">
        <f t="shared" si="0"/>
        <v>19925</v>
      </c>
      <c r="D62" s="1">
        <v>353</v>
      </c>
      <c r="E62" s="1">
        <v>735</v>
      </c>
      <c r="F62" s="1">
        <v>2061</v>
      </c>
      <c r="G62" s="1">
        <v>3764</v>
      </c>
      <c r="H62" s="1">
        <v>4296</v>
      </c>
      <c r="I62" s="1">
        <v>47</v>
      </c>
      <c r="J62" s="1">
        <v>750</v>
      </c>
      <c r="K62" s="1">
        <v>1264</v>
      </c>
      <c r="L62" s="1">
        <v>6640</v>
      </c>
      <c r="M62" s="1"/>
      <c r="N62" s="1">
        <v>15</v>
      </c>
      <c r="O62" s="1">
        <v>0</v>
      </c>
    </row>
    <row r="63" spans="1:15" ht="15.75" customHeight="1">
      <c r="A63" s="11">
        <v>2019</v>
      </c>
      <c r="B63" s="11" t="s">
        <v>158</v>
      </c>
      <c r="C63" s="12">
        <f t="shared" si="0"/>
        <v>22699</v>
      </c>
      <c r="D63" s="1">
        <v>455</v>
      </c>
      <c r="E63" s="1">
        <v>768</v>
      </c>
      <c r="F63" s="1">
        <v>2556</v>
      </c>
      <c r="G63" s="1">
        <v>3663</v>
      </c>
      <c r="H63" s="1">
        <v>4887</v>
      </c>
      <c r="I63" s="1">
        <v>24</v>
      </c>
      <c r="J63" s="1">
        <v>861</v>
      </c>
      <c r="K63" s="1">
        <v>1586</v>
      </c>
      <c r="L63" s="1">
        <v>7877</v>
      </c>
      <c r="M63" s="1"/>
      <c r="N63" s="1">
        <v>22</v>
      </c>
      <c r="O63" s="1">
        <v>0</v>
      </c>
    </row>
    <row r="64" spans="1:15" ht="15.75" customHeight="1">
      <c r="A64" s="11">
        <v>2019</v>
      </c>
      <c r="B64" s="11" t="s">
        <v>159</v>
      </c>
      <c r="C64" s="12">
        <f t="shared" si="0"/>
        <v>25333</v>
      </c>
      <c r="D64" s="2">
        <v>477</v>
      </c>
      <c r="E64" s="2">
        <v>871</v>
      </c>
      <c r="F64" s="2">
        <v>3120</v>
      </c>
      <c r="G64" s="2">
        <v>4019</v>
      </c>
      <c r="H64" s="2">
        <v>4961</v>
      </c>
      <c r="I64" s="2">
        <v>62</v>
      </c>
      <c r="J64" s="2">
        <v>1079</v>
      </c>
      <c r="K64" s="2">
        <v>1221</v>
      </c>
      <c r="L64" s="2">
        <v>9326</v>
      </c>
      <c r="M64" s="2"/>
      <c r="N64" s="2">
        <v>197</v>
      </c>
      <c r="O64" s="1">
        <v>0</v>
      </c>
    </row>
    <row r="65" spans="1:15" ht="15.75" customHeight="1">
      <c r="A65" s="11">
        <v>2019</v>
      </c>
      <c r="B65" s="11" t="s">
        <v>160</v>
      </c>
      <c r="C65" s="12">
        <f t="shared" si="0"/>
        <v>31694</v>
      </c>
      <c r="D65" s="1">
        <v>507</v>
      </c>
      <c r="E65" s="1">
        <v>837</v>
      </c>
      <c r="F65" s="1">
        <v>4125</v>
      </c>
      <c r="G65" s="1">
        <v>5295</v>
      </c>
      <c r="H65" s="1">
        <v>6423</v>
      </c>
      <c r="I65" s="1">
        <v>25</v>
      </c>
      <c r="J65" s="1">
        <v>1204</v>
      </c>
      <c r="K65" s="1">
        <v>1655</v>
      </c>
      <c r="L65" s="1">
        <v>11119</v>
      </c>
      <c r="M65" s="1"/>
      <c r="N65" s="1">
        <v>504</v>
      </c>
      <c r="O65" s="1">
        <v>0</v>
      </c>
    </row>
    <row r="66" spans="1:15" ht="15.75" customHeight="1">
      <c r="A66" s="11">
        <v>2019</v>
      </c>
      <c r="B66" s="11" t="s">
        <v>161</v>
      </c>
      <c r="C66" s="12">
        <f t="shared" si="0"/>
        <v>34557</v>
      </c>
      <c r="D66" s="1">
        <v>420</v>
      </c>
      <c r="E66" s="1">
        <v>882</v>
      </c>
      <c r="F66" s="1">
        <v>4364</v>
      </c>
      <c r="G66" s="1">
        <v>5629</v>
      </c>
      <c r="H66" s="1">
        <v>6697</v>
      </c>
      <c r="I66" s="1">
        <v>49</v>
      </c>
      <c r="J66" s="1">
        <v>1163</v>
      </c>
      <c r="K66" s="1">
        <v>1464</v>
      </c>
      <c r="L66" s="1">
        <v>13838</v>
      </c>
      <c r="M66" s="1"/>
      <c r="N66" s="1">
        <v>51</v>
      </c>
      <c r="O66" s="1">
        <v>0</v>
      </c>
    </row>
    <row r="67" spans="1:15" ht="15.75" customHeight="1">
      <c r="A67" s="11">
        <v>2019</v>
      </c>
      <c r="B67" s="11" t="s">
        <v>162</v>
      </c>
      <c r="C67" s="12">
        <f t="shared" si="0"/>
        <v>32539</v>
      </c>
      <c r="D67" s="1">
        <v>617</v>
      </c>
      <c r="E67" s="1">
        <v>1024</v>
      </c>
      <c r="F67" s="1">
        <v>4516</v>
      </c>
      <c r="G67" s="1">
        <v>5655</v>
      </c>
      <c r="H67" s="1">
        <v>6677</v>
      </c>
      <c r="I67" s="1">
        <v>36</v>
      </c>
      <c r="J67" s="1">
        <v>1339</v>
      </c>
      <c r="K67" s="1">
        <v>2008</v>
      </c>
      <c r="L67" s="1">
        <v>10588</v>
      </c>
      <c r="M67" s="1"/>
      <c r="N67" s="1">
        <v>79</v>
      </c>
      <c r="O67" s="1">
        <v>0</v>
      </c>
    </row>
    <row r="68" spans="1:15" ht="15.75" customHeight="1">
      <c r="A68" s="11">
        <v>2019</v>
      </c>
      <c r="B68" s="11" t="s">
        <v>163</v>
      </c>
      <c r="C68" s="12">
        <f t="shared" si="0"/>
        <v>24311</v>
      </c>
      <c r="D68" s="1">
        <v>502</v>
      </c>
      <c r="E68" s="1">
        <v>947</v>
      </c>
      <c r="F68" s="1">
        <v>2646</v>
      </c>
      <c r="G68" s="1">
        <v>4927</v>
      </c>
      <c r="H68" s="1">
        <v>4593</v>
      </c>
      <c r="I68" s="1">
        <v>49</v>
      </c>
      <c r="J68" s="1">
        <v>1043</v>
      </c>
      <c r="K68" s="1">
        <v>1267</v>
      </c>
      <c r="L68" s="1">
        <v>8323</v>
      </c>
      <c r="M68" s="1"/>
      <c r="N68" s="1">
        <v>14</v>
      </c>
      <c r="O68" s="1">
        <v>0</v>
      </c>
    </row>
    <row r="69" spans="1:15" ht="15.75" customHeight="1">
      <c r="A69" s="11">
        <v>2019</v>
      </c>
      <c r="B69" s="11" t="s">
        <v>164</v>
      </c>
      <c r="C69" s="12">
        <f t="shared" si="0"/>
        <v>24239</v>
      </c>
      <c r="D69" s="1">
        <v>526</v>
      </c>
      <c r="E69" s="1">
        <v>1235</v>
      </c>
      <c r="F69" s="1">
        <v>2587</v>
      </c>
      <c r="G69" s="1">
        <v>4491</v>
      </c>
      <c r="H69" s="1">
        <v>4890</v>
      </c>
      <c r="I69" s="1">
        <v>34</v>
      </c>
      <c r="J69" s="1">
        <v>856</v>
      </c>
      <c r="K69" s="1">
        <v>1327</v>
      </c>
      <c r="L69" s="1">
        <v>8287</v>
      </c>
      <c r="M69" s="1"/>
      <c r="N69" s="1">
        <v>6</v>
      </c>
      <c r="O69" s="1">
        <v>0</v>
      </c>
    </row>
    <row r="70" spans="1:15" ht="15.75" customHeight="1">
      <c r="A70" s="11">
        <v>2019</v>
      </c>
      <c r="B70" s="11" t="s">
        <v>165</v>
      </c>
      <c r="C70" s="12">
        <f t="shared" si="0"/>
        <v>28188</v>
      </c>
      <c r="D70" s="1">
        <v>653</v>
      </c>
      <c r="E70" s="1">
        <v>1094</v>
      </c>
      <c r="F70" s="1">
        <v>3027</v>
      </c>
      <c r="G70" s="1">
        <v>4842</v>
      </c>
      <c r="H70" s="1">
        <v>5409</v>
      </c>
      <c r="I70" s="1">
        <v>205</v>
      </c>
      <c r="J70" s="1">
        <v>1175</v>
      </c>
      <c r="K70" s="1">
        <v>1567</v>
      </c>
      <c r="L70" s="1">
        <v>10152</v>
      </c>
      <c r="M70" s="1"/>
      <c r="N70" s="1">
        <v>64</v>
      </c>
      <c r="O70" s="1">
        <v>0</v>
      </c>
    </row>
    <row r="71" spans="1:15" ht="15.75" customHeight="1">
      <c r="A71" s="11">
        <v>2019</v>
      </c>
      <c r="B71" s="11" t="s">
        <v>166</v>
      </c>
      <c r="C71" s="12">
        <f t="shared" si="0"/>
        <v>18750</v>
      </c>
      <c r="D71" s="1">
        <v>387</v>
      </c>
      <c r="E71" s="1">
        <v>766</v>
      </c>
      <c r="F71" s="1">
        <v>1967</v>
      </c>
      <c r="G71" s="1">
        <v>3391</v>
      </c>
      <c r="H71" s="1">
        <v>3818</v>
      </c>
      <c r="I71" s="1">
        <v>23</v>
      </c>
      <c r="J71" s="1">
        <v>822</v>
      </c>
      <c r="K71" s="1">
        <v>1101</v>
      </c>
      <c r="L71" s="1">
        <v>6475</v>
      </c>
      <c r="M71" s="1"/>
      <c r="N71" s="1">
        <v>0</v>
      </c>
      <c r="O71" s="1">
        <v>0</v>
      </c>
    </row>
    <row r="72" spans="1:15" ht="15.75" customHeight="1">
      <c r="A72" s="11">
        <v>2019</v>
      </c>
      <c r="B72" s="11" t="s">
        <v>167</v>
      </c>
      <c r="C72" s="12">
        <f t="shared" si="0"/>
        <v>16985</v>
      </c>
      <c r="D72" s="1">
        <v>371</v>
      </c>
      <c r="E72" s="1">
        <v>813</v>
      </c>
      <c r="F72" s="1">
        <v>1670</v>
      </c>
      <c r="G72" s="1">
        <v>2760</v>
      </c>
      <c r="H72" s="1">
        <v>3455</v>
      </c>
      <c r="I72" s="1">
        <v>27</v>
      </c>
      <c r="J72" s="1">
        <v>766</v>
      </c>
      <c r="K72" s="1">
        <v>875</v>
      </c>
      <c r="L72" s="1">
        <v>6248</v>
      </c>
      <c r="M72" s="1"/>
      <c r="N72" s="1">
        <v>0</v>
      </c>
      <c r="O72" s="1">
        <v>0</v>
      </c>
    </row>
    <row r="73" spans="1:15" ht="15.75" customHeight="1">
      <c r="A73" s="11">
        <v>2019</v>
      </c>
      <c r="B73" s="11" t="s">
        <v>168</v>
      </c>
      <c r="C73" s="12">
        <f t="shared" si="0"/>
        <v>18824</v>
      </c>
      <c r="D73" s="1">
        <v>373</v>
      </c>
      <c r="E73" s="1">
        <v>712</v>
      </c>
      <c r="F73" s="1">
        <v>1790</v>
      </c>
      <c r="G73" s="1">
        <v>3053</v>
      </c>
      <c r="H73" s="1">
        <v>3699</v>
      </c>
      <c r="I73" s="1">
        <v>103</v>
      </c>
      <c r="J73" s="1">
        <v>955</v>
      </c>
      <c r="K73" s="1">
        <v>962</v>
      </c>
      <c r="L73" s="1">
        <v>7177</v>
      </c>
      <c r="M73" s="1"/>
      <c r="N73" s="1">
        <v>0</v>
      </c>
      <c r="O73" s="1">
        <v>0</v>
      </c>
    </row>
    <row r="74" spans="1:15" ht="15.75" customHeight="1">
      <c r="A74" s="11">
        <v>2019</v>
      </c>
      <c r="B74" s="11" t="s">
        <v>169</v>
      </c>
      <c r="C74" s="12">
        <f t="shared" si="0"/>
        <v>18421</v>
      </c>
      <c r="D74" s="1">
        <v>367</v>
      </c>
      <c r="E74" s="1">
        <v>685</v>
      </c>
      <c r="F74" s="1">
        <v>1827</v>
      </c>
      <c r="G74" s="1">
        <v>2977</v>
      </c>
      <c r="H74" s="1">
        <v>3952</v>
      </c>
      <c r="I74" s="1">
        <v>20</v>
      </c>
      <c r="J74" s="1">
        <v>856</v>
      </c>
      <c r="K74" s="1">
        <v>1128</v>
      </c>
      <c r="L74" s="1">
        <v>6608</v>
      </c>
      <c r="M74" s="1"/>
      <c r="N74" s="1">
        <v>1</v>
      </c>
      <c r="O74" s="1">
        <v>0</v>
      </c>
    </row>
    <row r="75" spans="1:15" ht="15.75" customHeight="1">
      <c r="A75" s="11">
        <v>2020</v>
      </c>
      <c r="B75" s="11" t="s">
        <v>158</v>
      </c>
      <c r="C75" s="12">
        <f t="shared" si="0"/>
        <v>18530</v>
      </c>
      <c r="D75" s="1">
        <v>272</v>
      </c>
      <c r="E75" s="1">
        <v>1010</v>
      </c>
      <c r="F75" s="1">
        <v>1839</v>
      </c>
      <c r="G75" s="1">
        <v>2780</v>
      </c>
      <c r="H75" s="1">
        <v>3765</v>
      </c>
      <c r="I75" s="1">
        <v>22</v>
      </c>
      <c r="J75" s="1">
        <v>797</v>
      </c>
      <c r="K75" s="1">
        <v>1062</v>
      </c>
      <c r="L75" s="1">
        <v>6982</v>
      </c>
      <c r="M75" s="1"/>
      <c r="N75" s="1">
        <v>1</v>
      </c>
      <c r="O75" s="1">
        <v>0</v>
      </c>
    </row>
    <row r="76" spans="1:15" ht="15.75" customHeight="1">
      <c r="A76" s="11">
        <v>2020</v>
      </c>
      <c r="B76" s="11" t="s">
        <v>159</v>
      </c>
      <c r="C76" s="12">
        <f t="shared" si="0"/>
        <v>20787</v>
      </c>
      <c r="D76" s="1">
        <v>491</v>
      </c>
      <c r="E76" s="1">
        <v>842</v>
      </c>
      <c r="F76" s="1">
        <v>2180</v>
      </c>
      <c r="G76" s="1">
        <v>3197</v>
      </c>
      <c r="H76" s="1">
        <v>4201</v>
      </c>
      <c r="I76" s="1">
        <v>49</v>
      </c>
      <c r="J76" s="1">
        <v>975</v>
      </c>
      <c r="K76" s="1">
        <v>1361</v>
      </c>
      <c r="L76" s="1">
        <v>7491</v>
      </c>
      <c r="M76" s="1"/>
      <c r="N76" s="1">
        <v>0</v>
      </c>
      <c r="O76" s="1">
        <v>0</v>
      </c>
    </row>
    <row r="77" spans="1:15" ht="15.75" customHeight="1">
      <c r="A77" s="11">
        <v>2020</v>
      </c>
      <c r="B77" s="11" t="s">
        <v>160</v>
      </c>
      <c r="C77" s="12">
        <f t="shared" si="0"/>
        <v>23396</v>
      </c>
      <c r="D77" s="1">
        <v>584</v>
      </c>
      <c r="E77" s="1">
        <v>779</v>
      </c>
      <c r="F77" s="1">
        <v>2664</v>
      </c>
      <c r="G77" s="1">
        <v>3523</v>
      </c>
      <c r="H77" s="1">
        <v>4338</v>
      </c>
      <c r="I77" s="1">
        <v>29</v>
      </c>
      <c r="J77" s="1">
        <v>1106</v>
      </c>
      <c r="K77" s="1">
        <v>1060</v>
      </c>
      <c r="L77" s="1">
        <v>9312</v>
      </c>
      <c r="M77" s="1"/>
      <c r="N77" s="1">
        <v>1</v>
      </c>
      <c r="O77" s="1">
        <v>0</v>
      </c>
    </row>
    <row r="78" spans="1:15" ht="15.75" customHeight="1">
      <c r="A78" s="11">
        <v>2020</v>
      </c>
      <c r="B78" s="11" t="s">
        <v>161</v>
      </c>
      <c r="C78" s="12">
        <f t="shared" si="0"/>
        <v>12091</v>
      </c>
      <c r="D78" s="1">
        <v>740</v>
      </c>
      <c r="E78" s="1">
        <v>361</v>
      </c>
      <c r="F78" s="1">
        <v>1792</v>
      </c>
      <c r="G78" s="1">
        <v>1948</v>
      </c>
      <c r="H78" s="1">
        <v>1056</v>
      </c>
      <c r="I78" s="1">
        <v>13</v>
      </c>
      <c r="J78" s="1">
        <v>2005</v>
      </c>
      <c r="K78" s="1">
        <v>464</v>
      </c>
      <c r="L78" s="1">
        <v>3711</v>
      </c>
      <c r="M78" s="1">
        <v>1</v>
      </c>
      <c r="N78" s="1"/>
      <c r="O78" s="1">
        <v>0</v>
      </c>
    </row>
    <row r="79" spans="1:15" ht="15.75" customHeight="1">
      <c r="A79" s="11">
        <v>2020</v>
      </c>
      <c r="B79" s="11" t="s">
        <v>162</v>
      </c>
      <c r="C79" s="12">
        <f t="shared" si="0"/>
        <v>17613</v>
      </c>
      <c r="D79" s="1">
        <v>732</v>
      </c>
      <c r="E79" s="1">
        <v>450</v>
      </c>
      <c r="F79" s="1">
        <v>3057</v>
      </c>
      <c r="G79" s="1">
        <v>2618</v>
      </c>
      <c r="H79" s="1">
        <v>1895</v>
      </c>
      <c r="I79" s="1">
        <v>46</v>
      </c>
      <c r="J79" s="1">
        <v>2004</v>
      </c>
      <c r="K79" s="1">
        <v>624</v>
      </c>
      <c r="L79" s="1">
        <v>6183</v>
      </c>
      <c r="M79" s="1"/>
      <c r="N79" s="1">
        <v>3</v>
      </c>
      <c r="O79" s="1">
        <v>1</v>
      </c>
    </row>
    <row r="80" spans="1:15" ht="15.75" customHeight="1">
      <c r="A80" s="11">
        <v>2020</v>
      </c>
      <c r="B80" s="11" t="s">
        <v>163</v>
      </c>
      <c r="C80" s="12">
        <f t="shared" si="0"/>
        <v>25174</v>
      </c>
      <c r="D80" s="1">
        <v>561</v>
      </c>
      <c r="E80" s="1">
        <v>444</v>
      </c>
      <c r="F80" s="1">
        <v>4586</v>
      </c>
      <c r="G80" s="1">
        <v>3872</v>
      </c>
      <c r="H80" s="1">
        <v>2867</v>
      </c>
      <c r="I80" s="1">
        <v>19</v>
      </c>
      <c r="J80" s="1">
        <v>2110</v>
      </c>
      <c r="K80" s="1">
        <v>956</v>
      </c>
      <c r="L80" s="1">
        <v>9757</v>
      </c>
      <c r="M80" s="1"/>
      <c r="N80" s="1">
        <v>2</v>
      </c>
      <c r="O80" s="1"/>
    </row>
    <row r="81" spans="1:15" ht="15.75" customHeight="1">
      <c r="A81" s="11">
        <v>2020</v>
      </c>
      <c r="B81" s="11" t="s">
        <v>164</v>
      </c>
      <c r="C81" s="12">
        <f t="shared" si="0"/>
        <v>25611</v>
      </c>
      <c r="D81" s="3">
        <v>643</v>
      </c>
      <c r="E81" s="3">
        <v>901</v>
      </c>
      <c r="F81" s="3">
        <v>4270</v>
      </c>
      <c r="G81" s="3">
        <v>3824</v>
      </c>
      <c r="H81" s="3">
        <v>3374</v>
      </c>
      <c r="I81" s="3">
        <v>7</v>
      </c>
      <c r="J81" s="3">
        <v>2720</v>
      </c>
      <c r="K81" s="3">
        <v>801</v>
      </c>
      <c r="L81" s="3">
        <v>9071</v>
      </c>
      <c r="M81" s="3"/>
      <c r="N81" s="3"/>
      <c r="O81" s="3"/>
    </row>
    <row r="82" spans="1:15" ht="15.75" customHeight="1">
      <c r="A82" s="11">
        <v>2020</v>
      </c>
      <c r="B82" s="11" t="s">
        <v>165</v>
      </c>
      <c r="C82" s="12">
        <f t="shared" si="0"/>
        <v>27933</v>
      </c>
      <c r="D82" s="3">
        <v>699</v>
      </c>
      <c r="E82" s="3">
        <v>679</v>
      </c>
      <c r="F82" s="3">
        <v>4713</v>
      </c>
      <c r="G82" s="3">
        <v>3731</v>
      </c>
      <c r="H82" s="3">
        <v>3615</v>
      </c>
      <c r="I82" s="3">
        <v>41</v>
      </c>
      <c r="J82" s="3">
        <v>1282</v>
      </c>
      <c r="K82" s="3">
        <v>1167</v>
      </c>
      <c r="L82" s="3">
        <v>11994</v>
      </c>
      <c r="M82" s="3"/>
      <c r="N82" s="3">
        <v>12</v>
      </c>
      <c r="O82" s="3"/>
    </row>
    <row r="83" spans="1:15" ht="15.75" customHeight="1">
      <c r="A83" s="11">
        <v>2020</v>
      </c>
      <c r="B83" s="11" t="s">
        <v>166</v>
      </c>
      <c r="C83" s="12">
        <f t="shared" si="0"/>
        <v>20258</v>
      </c>
      <c r="D83" s="3">
        <v>486</v>
      </c>
      <c r="E83" s="3">
        <v>578</v>
      </c>
      <c r="F83" s="3">
        <v>2771</v>
      </c>
      <c r="G83" s="3">
        <v>3558</v>
      </c>
      <c r="H83" s="3">
        <v>3151</v>
      </c>
      <c r="I83" s="3">
        <v>43</v>
      </c>
      <c r="J83" s="3">
        <v>611</v>
      </c>
      <c r="K83" s="3">
        <v>730</v>
      </c>
      <c r="L83" s="3">
        <v>8329</v>
      </c>
      <c r="M83" s="3"/>
      <c r="N83" s="3"/>
      <c r="O83" s="3">
        <v>1</v>
      </c>
    </row>
    <row r="84" spans="1:15" ht="15.75" customHeight="1">
      <c r="A84" s="11">
        <v>2020</v>
      </c>
      <c r="B84" s="11" t="s">
        <v>167</v>
      </c>
      <c r="C84" s="12">
        <f t="shared" si="0"/>
        <v>15066</v>
      </c>
      <c r="D84" s="3">
        <v>344</v>
      </c>
      <c r="E84" s="3">
        <v>440</v>
      </c>
      <c r="F84" s="3">
        <v>2239</v>
      </c>
      <c r="G84" s="3">
        <v>1928</v>
      </c>
      <c r="H84" s="3">
        <v>1930</v>
      </c>
      <c r="I84" s="3">
        <v>18</v>
      </c>
      <c r="J84" s="3">
        <v>375</v>
      </c>
      <c r="K84" s="3">
        <v>565</v>
      </c>
      <c r="L84" s="3">
        <v>7227</v>
      </c>
      <c r="M84" s="3"/>
      <c r="N84" s="3"/>
      <c r="O84" s="3"/>
    </row>
    <row r="85" spans="1:15" ht="15.75" customHeight="1">
      <c r="A85" s="11">
        <v>2020</v>
      </c>
      <c r="B85" s="11" t="s">
        <v>168</v>
      </c>
      <c r="C85" s="12">
        <f t="shared" si="0"/>
        <v>38710</v>
      </c>
      <c r="D85" s="3">
        <v>1019</v>
      </c>
      <c r="E85" s="3">
        <v>1169</v>
      </c>
      <c r="F85" s="3">
        <v>4711</v>
      </c>
      <c r="G85" s="3">
        <v>3820</v>
      </c>
      <c r="H85" s="3">
        <v>5020</v>
      </c>
      <c r="I85" s="3">
        <v>142</v>
      </c>
      <c r="J85" s="3">
        <v>1326</v>
      </c>
      <c r="K85" s="3">
        <v>1286</v>
      </c>
      <c r="L85" s="3">
        <v>20216</v>
      </c>
      <c r="M85" s="3"/>
      <c r="N85" s="3"/>
      <c r="O85" s="3">
        <v>1</v>
      </c>
    </row>
    <row r="86" spans="1:15" ht="15.75" customHeight="1">
      <c r="A86" s="11">
        <v>2020</v>
      </c>
      <c r="B86" s="11" t="s">
        <v>169</v>
      </c>
      <c r="C86" s="12">
        <f t="shared" si="0"/>
        <v>30829</v>
      </c>
      <c r="D86" s="2">
        <v>874</v>
      </c>
      <c r="E86" s="2">
        <v>972</v>
      </c>
      <c r="F86" s="2">
        <v>3686</v>
      </c>
      <c r="G86" s="2">
        <v>3790</v>
      </c>
      <c r="H86" s="2">
        <v>3598</v>
      </c>
      <c r="I86" s="2">
        <v>205</v>
      </c>
      <c r="J86" s="2">
        <v>861</v>
      </c>
      <c r="K86" s="2">
        <v>1118</v>
      </c>
      <c r="L86" s="2">
        <v>15725</v>
      </c>
      <c r="M86" s="3"/>
      <c r="N86" s="3"/>
      <c r="O86" s="3"/>
    </row>
    <row r="87" spans="1:15" ht="15.75" customHeight="1">
      <c r="A87" s="11">
        <v>2021</v>
      </c>
      <c r="B87" s="11" t="s">
        <v>158</v>
      </c>
      <c r="C87" s="12">
        <f t="shared" si="0"/>
        <v>22887</v>
      </c>
      <c r="D87" s="4">
        <v>536</v>
      </c>
      <c r="E87" s="4">
        <v>646</v>
      </c>
      <c r="F87" s="4">
        <v>3156</v>
      </c>
      <c r="G87" s="4">
        <v>3028</v>
      </c>
      <c r="H87" s="4">
        <v>2568</v>
      </c>
      <c r="I87" s="4">
        <v>46</v>
      </c>
      <c r="J87" s="4">
        <v>389</v>
      </c>
      <c r="K87" s="4">
        <v>746</v>
      </c>
      <c r="L87" s="4">
        <v>11772</v>
      </c>
      <c r="M87" s="5"/>
      <c r="N87" s="5"/>
      <c r="O87" s="5"/>
    </row>
    <row r="88" spans="1:15" ht="15.75" customHeight="1">
      <c r="A88" s="11">
        <v>2021</v>
      </c>
      <c r="B88" s="11" t="s">
        <v>159</v>
      </c>
      <c r="C88" s="12">
        <f t="shared" si="0"/>
        <v>23915</v>
      </c>
      <c r="D88" s="2">
        <v>841</v>
      </c>
      <c r="E88" s="2">
        <v>881</v>
      </c>
      <c r="F88" s="2">
        <v>3218</v>
      </c>
      <c r="G88" s="2">
        <v>2612</v>
      </c>
      <c r="H88" s="2">
        <v>2217</v>
      </c>
      <c r="I88" s="2">
        <v>53</v>
      </c>
      <c r="J88" s="2">
        <v>384</v>
      </c>
      <c r="K88" s="2">
        <v>821</v>
      </c>
      <c r="L88" s="2">
        <v>12888</v>
      </c>
      <c r="M88" s="3"/>
      <c r="N88" s="3"/>
      <c r="O88" s="3"/>
    </row>
    <row r="89" spans="1:15" ht="15.75" customHeight="1">
      <c r="A89" s="11">
        <v>2021</v>
      </c>
      <c r="B89" s="11" t="s">
        <v>160</v>
      </c>
      <c r="C89" s="12">
        <f t="shared" si="0"/>
        <v>20751</v>
      </c>
      <c r="D89" s="2">
        <v>642</v>
      </c>
      <c r="E89" s="2">
        <v>731</v>
      </c>
      <c r="F89" s="2">
        <v>2968</v>
      </c>
      <c r="G89" s="2">
        <v>2625</v>
      </c>
      <c r="H89" s="2">
        <v>1846</v>
      </c>
      <c r="I89" s="2">
        <v>40</v>
      </c>
      <c r="J89" s="2">
        <v>433</v>
      </c>
      <c r="K89" s="2">
        <v>725</v>
      </c>
      <c r="L89" s="2">
        <v>10741</v>
      </c>
      <c r="M89" s="3"/>
      <c r="N89" s="3"/>
      <c r="O89" s="3"/>
    </row>
    <row r="90" spans="1:15" ht="15.75" customHeight="1">
      <c r="A90" s="11">
        <v>2021</v>
      </c>
      <c r="B90" s="11" t="s">
        <v>161</v>
      </c>
      <c r="C90" s="12">
        <f t="shared" si="0"/>
        <v>16992</v>
      </c>
      <c r="D90" s="2">
        <v>616</v>
      </c>
      <c r="E90" s="2">
        <v>390</v>
      </c>
      <c r="F90" s="2">
        <v>2737</v>
      </c>
      <c r="G90" s="2">
        <v>2388</v>
      </c>
      <c r="H90" s="2">
        <v>1995</v>
      </c>
      <c r="I90" s="2">
        <v>36</v>
      </c>
      <c r="J90" s="2">
        <v>323</v>
      </c>
      <c r="K90" s="2">
        <v>581</v>
      </c>
      <c r="L90" s="2">
        <v>7926</v>
      </c>
      <c r="M90" s="3"/>
      <c r="N90" s="3"/>
      <c r="O90" s="3"/>
    </row>
    <row r="91" spans="1:15" ht="15.75" customHeight="1">
      <c r="A91" s="11">
        <v>2021</v>
      </c>
      <c r="B91" s="11" t="s">
        <v>162</v>
      </c>
      <c r="C91" s="12">
        <f t="shared" si="0"/>
        <v>21650</v>
      </c>
      <c r="D91" s="2">
        <v>637</v>
      </c>
      <c r="E91" s="2">
        <v>696</v>
      </c>
      <c r="F91" s="2">
        <v>3355</v>
      </c>
      <c r="G91" s="2">
        <v>2659</v>
      </c>
      <c r="H91" s="2">
        <v>2274</v>
      </c>
      <c r="I91" s="2">
        <v>20</v>
      </c>
      <c r="J91" s="2">
        <v>573</v>
      </c>
      <c r="K91" s="2">
        <v>685</v>
      </c>
      <c r="L91" s="2">
        <v>10751</v>
      </c>
      <c r="M91" s="3"/>
      <c r="N91" s="3"/>
      <c r="O91" s="3"/>
    </row>
    <row r="92" spans="1:15" ht="15.75" customHeight="1">
      <c r="A92" s="11">
        <v>2021</v>
      </c>
      <c r="B92" s="11" t="s">
        <v>163</v>
      </c>
      <c r="C92" s="13">
        <f>Monthly!CN5</f>
        <v>25677</v>
      </c>
      <c r="D92" s="13">
        <f>Monthly!CN6</f>
        <v>695</v>
      </c>
      <c r="E92" s="13">
        <f>Monthly!CN7</f>
        <v>782</v>
      </c>
      <c r="F92" s="13">
        <f>Monthly!CN8</f>
        <v>3668</v>
      </c>
      <c r="G92" s="13">
        <f>Monthly!CN9</f>
        <v>3526</v>
      </c>
      <c r="H92" s="13">
        <f>Monthly!CN10</f>
        <v>2290</v>
      </c>
      <c r="I92" s="13">
        <f>Monthly!CN11</f>
        <v>15</v>
      </c>
      <c r="J92" s="13">
        <f>Monthly!CN12</f>
        <v>713</v>
      </c>
      <c r="K92" s="13">
        <f>Monthly!CN13</f>
        <v>979</v>
      </c>
      <c r="L92" s="13">
        <f>Monthly!CN14</f>
        <v>13009</v>
      </c>
      <c r="M92" s="14">
        <f>Monthly!CN15</f>
        <v>0</v>
      </c>
      <c r="N92" s="14">
        <f>Monthly!CN16</f>
        <v>0</v>
      </c>
      <c r="O92" s="14">
        <f>Monthly!CN17</f>
        <v>0</v>
      </c>
    </row>
    <row r="93" spans="1:15" ht="15.75" customHeight="1">
      <c r="A93" s="11">
        <v>2021</v>
      </c>
      <c r="B93" s="11" t="s">
        <v>164</v>
      </c>
      <c r="C93" s="13">
        <f>Monthly!CO5</f>
        <v>20940</v>
      </c>
      <c r="D93" s="13">
        <f>Monthly!CO6</f>
        <v>625</v>
      </c>
      <c r="E93" s="13">
        <f>Monthly!CO7</f>
        <v>542</v>
      </c>
      <c r="F93" s="13">
        <f>Monthly!CO8</f>
        <v>4025</v>
      </c>
      <c r="G93" s="13">
        <f>Monthly!CO9</f>
        <v>2554</v>
      </c>
      <c r="H93" s="13">
        <f>Monthly!CO10</f>
        <v>1691</v>
      </c>
      <c r="I93" s="13">
        <f>Monthly!CO11</f>
        <v>20</v>
      </c>
      <c r="J93" s="13">
        <f>Monthly!CO12</f>
        <v>640</v>
      </c>
      <c r="K93" s="13">
        <f>Monthly!CO13</f>
        <v>506</v>
      </c>
      <c r="L93" s="13">
        <f>Monthly!CO14</f>
        <v>10337</v>
      </c>
      <c r="M93" s="14">
        <f>Monthly!CO15</f>
        <v>0</v>
      </c>
      <c r="N93" s="14">
        <f>Monthly!CO16</f>
        <v>0</v>
      </c>
      <c r="O93" s="14">
        <f>Monthly!CO17</f>
        <v>0</v>
      </c>
    </row>
    <row r="94" spans="1:15" ht="15.75" customHeight="1">
      <c r="A94" s="11">
        <v>2021</v>
      </c>
      <c r="B94" s="11" t="s">
        <v>165</v>
      </c>
      <c r="C94" s="13">
        <f>Monthly!CP5</f>
        <v>23707</v>
      </c>
      <c r="D94" s="13">
        <f>Monthly!CP6</f>
        <v>699</v>
      </c>
      <c r="E94" s="13">
        <f>Monthly!CP7</f>
        <v>823</v>
      </c>
      <c r="F94" s="13">
        <f>Monthly!CP8</f>
        <v>3777</v>
      </c>
      <c r="G94" s="13">
        <f>Monthly!CP9</f>
        <v>2794</v>
      </c>
      <c r="H94" s="13">
        <f>Monthly!CP10</f>
        <v>2215</v>
      </c>
      <c r="I94" s="13">
        <f>Monthly!CP11</f>
        <v>24</v>
      </c>
      <c r="J94" s="13">
        <f>Monthly!CP12</f>
        <v>1101</v>
      </c>
      <c r="K94" s="13">
        <f>Monthly!CP13</f>
        <v>797</v>
      </c>
      <c r="L94" s="13">
        <f>Monthly!CP14</f>
        <v>11477</v>
      </c>
      <c r="M94" s="14">
        <f>Monthly!CP15</f>
        <v>0</v>
      </c>
      <c r="N94" s="14">
        <f>Monthly!CP16</f>
        <v>0</v>
      </c>
      <c r="O94" s="14">
        <f>Monthly!CP17</f>
        <v>0</v>
      </c>
    </row>
    <row r="95" spans="1:15" ht="15.75" customHeight="1">
      <c r="A95" s="11">
        <v>2021</v>
      </c>
      <c r="B95" s="11" t="s">
        <v>166</v>
      </c>
      <c r="C95" s="13">
        <f>Monthly!CQ5</f>
        <v>22078</v>
      </c>
      <c r="D95" s="13">
        <f>Monthly!CQ6</f>
        <v>747</v>
      </c>
      <c r="E95" s="13">
        <f>Monthly!CQ7</f>
        <v>974</v>
      </c>
      <c r="F95" s="13">
        <f>Monthly!CQ8</f>
        <v>3482</v>
      </c>
      <c r="G95" s="13">
        <f>Monthly!CQ9</f>
        <v>2497</v>
      </c>
      <c r="H95" s="13">
        <f>Monthly!CQ10</f>
        <v>1648</v>
      </c>
      <c r="I95" s="13">
        <f>Monthly!CQ11</f>
        <v>12</v>
      </c>
      <c r="J95" s="13">
        <f>Monthly!CQ12</f>
        <v>618</v>
      </c>
      <c r="K95" s="13">
        <f>Monthly!CQ13</f>
        <v>752</v>
      </c>
      <c r="L95" s="13">
        <f>Monthly!CQ14</f>
        <v>11348</v>
      </c>
      <c r="M95" s="14">
        <f>Monthly!CQ15</f>
        <v>0</v>
      </c>
      <c r="N95" s="14">
        <f>Monthly!CQ16</f>
        <v>0</v>
      </c>
      <c r="O95" s="14">
        <f>Monthly!CQ17</f>
        <v>0</v>
      </c>
    </row>
    <row r="96" spans="1:15" ht="15.75" customHeight="1">
      <c r="A96" s="11">
        <v>2021</v>
      </c>
      <c r="B96" s="11" t="s">
        <v>167</v>
      </c>
      <c r="C96" s="13">
        <f>Monthly!CR5</f>
        <v>9602</v>
      </c>
      <c r="D96" s="13">
        <f>Monthly!CR6</f>
        <v>279</v>
      </c>
      <c r="E96" s="13">
        <f>Monthly!CR7</f>
        <v>336</v>
      </c>
      <c r="F96" s="13">
        <f>Monthly!CR8</f>
        <v>1342</v>
      </c>
      <c r="G96" s="13">
        <f>Monthly!CR9</f>
        <v>1300</v>
      </c>
      <c r="H96" s="13">
        <f>Monthly!CR10</f>
        <v>910</v>
      </c>
      <c r="I96" s="13">
        <f>Monthly!CR11</f>
        <v>17</v>
      </c>
      <c r="J96" s="13">
        <f>Monthly!CR12</f>
        <v>266</v>
      </c>
      <c r="K96" s="13">
        <f>Monthly!CR13</f>
        <v>348</v>
      </c>
      <c r="L96" s="13">
        <f>Monthly!CR14</f>
        <v>4804</v>
      </c>
      <c r="M96" s="14">
        <f>Monthly!CR15</f>
        <v>0</v>
      </c>
      <c r="N96" s="14">
        <f>Monthly!CR16</f>
        <v>0</v>
      </c>
      <c r="O96" s="14">
        <f>Monthly!CR17</f>
        <v>0</v>
      </c>
    </row>
    <row r="97" spans="1:15" ht="15.75" customHeight="1">
      <c r="A97" s="11">
        <v>2021</v>
      </c>
      <c r="B97" s="11" t="s">
        <v>168</v>
      </c>
      <c r="C97" s="13">
        <f>Monthly!CS5</f>
        <v>12895</v>
      </c>
      <c r="D97" s="13">
        <f>Monthly!CS6</f>
        <v>255</v>
      </c>
      <c r="E97" s="13">
        <f>Monthly!CS7</f>
        <v>330</v>
      </c>
      <c r="F97" s="13">
        <f>Monthly!CS8</f>
        <v>1770</v>
      </c>
      <c r="G97" s="13">
        <f>Monthly!CS9</f>
        <v>1651</v>
      </c>
      <c r="H97" s="13">
        <f>Monthly!CS10</f>
        <v>1076</v>
      </c>
      <c r="I97" s="13">
        <f>Monthly!CS11</f>
        <v>2</v>
      </c>
      <c r="J97" s="13">
        <f>Monthly!CS12</f>
        <v>338</v>
      </c>
      <c r="K97" s="13">
        <f>Monthly!CS13</f>
        <v>317</v>
      </c>
      <c r="L97" s="13">
        <f>Monthly!CS14</f>
        <v>7156</v>
      </c>
      <c r="M97" s="14">
        <f>Monthly!CS15</f>
        <v>0</v>
      </c>
      <c r="N97" s="14">
        <f>Monthly!CS16</f>
        <v>0</v>
      </c>
      <c r="O97" s="14">
        <f>Monthly!CS17</f>
        <v>0</v>
      </c>
    </row>
    <row r="98" spans="1:15" ht="15.75" customHeight="1">
      <c r="A98" s="11">
        <v>2021</v>
      </c>
      <c r="B98" s="11" t="s">
        <v>169</v>
      </c>
      <c r="C98" s="13">
        <f>Monthly!CT5</f>
        <v>14090</v>
      </c>
      <c r="D98" s="13">
        <f>Monthly!CT6</f>
        <v>318</v>
      </c>
      <c r="E98" s="13">
        <f>Monthly!CT7</f>
        <v>273</v>
      </c>
      <c r="F98" s="13">
        <f>Monthly!CT8</f>
        <v>1788</v>
      </c>
      <c r="G98" s="13">
        <f>Monthly!CT9</f>
        <v>1788</v>
      </c>
      <c r="H98" s="13">
        <f>Monthly!CT10</f>
        <v>1588</v>
      </c>
      <c r="I98" s="13">
        <f>Monthly!CT11</f>
        <v>73</v>
      </c>
      <c r="J98" s="13">
        <f>Monthly!CT12</f>
        <v>280</v>
      </c>
      <c r="K98" s="13">
        <f>Monthly!CT13</f>
        <v>410</v>
      </c>
      <c r="L98" s="13">
        <f>Monthly!CT14</f>
        <v>7572</v>
      </c>
      <c r="M98" s="14">
        <f>Monthly!CT15</f>
        <v>0</v>
      </c>
      <c r="N98" s="14">
        <f>Monthly!CT16</f>
        <v>0</v>
      </c>
      <c r="O98" s="14">
        <f>Monthly!CT17</f>
        <v>0</v>
      </c>
    </row>
    <row r="99" spans="1:15" ht="15.75" customHeight="1">
      <c r="A99" s="11">
        <v>2022</v>
      </c>
      <c r="B99" s="11" t="s">
        <v>158</v>
      </c>
      <c r="C99" s="15">
        <f>Monthly!CU5</f>
        <v>14981</v>
      </c>
      <c r="D99" s="15">
        <f>Monthly!CU6</f>
        <v>352</v>
      </c>
      <c r="E99" s="15">
        <f>Monthly!CU7</f>
        <v>351</v>
      </c>
      <c r="F99" s="15">
        <f>Monthly!CU8</f>
        <v>1938</v>
      </c>
      <c r="G99" s="15">
        <f>Monthly!CU9</f>
        <v>1744</v>
      </c>
      <c r="H99" s="15">
        <f>Monthly!CU10</f>
        <v>1981</v>
      </c>
      <c r="I99" s="15">
        <f>Monthly!CU11</f>
        <v>24</v>
      </c>
      <c r="J99" s="15">
        <f>Monthly!CU12</f>
        <v>389</v>
      </c>
      <c r="K99" s="15">
        <f>Monthly!CU13</f>
        <v>874</v>
      </c>
      <c r="L99" s="15">
        <f>Monthly!CU14</f>
        <v>7328</v>
      </c>
      <c r="M99" s="15">
        <f>Monthly!CU15</f>
        <v>0</v>
      </c>
      <c r="N99" s="15">
        <f>Monthly!CU16</f>
        <v>0</v>
      </c>
      <c r="O99" s="15">
        <f>Monthly!CU17</f>
        <v>0</v>
      </c>
    </row>
    <row r="100" spans="1:15" ht="15.75" customHeight="1">
      <c r="A100" s="11">
        <v>2022</v>
      </c>
      <c r="B100" s="11" t="s">
        <v>159</v>
      </c>
      <c r="C100" s="15">
        <f>Monthly!CV5</f>
        <v>23768</v>
      </c>
      <c r="D100" s="15">
        <f>Monthly!CV6</f>
        <v>560</v>
      </c>
      <c r="E100" s="15">
        <f>Monthly!CV7</f>
        <v>606</v>
      </c>
      <c r="F100" s="15">
        <f>Monthly!CV8</f>
        <v>3610</v>
      </c>
      <c r="G100" s="15">
        <f>Monthly!CV9</f>
        <v>3024</v>
      </c>
      <c r="H100" s="15">
        <f>Monthly!CV10</f>
        <v>2239</v>
      </c>
      <c r="I100" s="15">
        <f>Monthly!CV11</f>
        <v>38</v>
      </c>
      <c r="J100" s="15">
        <f>Monthly!CV12</f>
        <v>820</v>
      </c>
      <c r="K100" s="15">
        <f>Monthly!CV13</f>
        <v>886</v>
      </c>
      <c r="L100" s="15">
        <f>Monthly!CV14</f>
        <v>11985</v>
      </c>
      <c r="M100" s="15">
        <f>Monthly!CV15</f>
        <v>0</v>
      </c>
      <c r="N100" s="15">
        <f>Monthly!CV16</f>
        <v>0</v>
      </c>
      <c r="O100" s="15">
        <f>Monthly!CV17</f>
        <v>0</v>
      </c>
    </row>
    <row r="101" spans="1:15" ht="15.75" customHeight="1">
      <c r="A101" s="11">
        <v>2022</v>
      </c>
      <c r="B101" s="11" t="s">
        <v>160</v>
      </c>
      <c r="C101" s="15">
        <f>Monthly!CW5</f>
        <v>25901</v>
      </c>
      <c r="D101" s="15">
        <f>Monthly!CW6</f>
        <v>964</v>
      </c>
      <c r="E101" s="15">
        <f>Monthly!CW7</f>
        <v>666</v>
      </c>
      <c r="F101" s="15">
        <f>Monthly!CW8</f>
        <v>3464</v>
      </c>
      <c r="G101" s="15">
        <f>Monthly!CW9</f>
        <v>2770</v>
      </c>
      <c r="H101" s="15">
        <f>Monthly!CW10</f>
        <v>3280</v>
      </c>
      <c r="I101" s="15">
        <f>Monthly!CW11</f>
        <v>134</v>
      </c>
      <c r="J101" s="15">
        <f>Monthly!CW12</f>
        <v>382</v>
      </c>
      <c r="K101" s="15">
        <f>Monthly!CW13</f>
        <v>1865</v>
      </c>
      <c r="L101" s="15">
        <f>Monthly!CW14</f>
        <v>12376</v>
      </c>
      <c r="M101" s="15">
        <f>Monthly!CW15</f>
        <v>0</v>
      </c>
      <c r="N101" s="15">
        <f>Monthly!CW16</f>
        <v>0</v>
      </c>
      <c r="O101" s="15">
        <f>Monthly!CW17</f>
        <v>0</v>
      </c>
    </row>
    <row r="102" spans="1:15" ht="15.75" customHeight="1">
      <c r="A102" s="11">
        <v>2022</v>
      </c>
      <c r="B102" s="11" t="s">
        <v>161</v>
      </c>
      <c r="C102" s="15">
        <f>Monthly!CX5</f>
        <v>22474</v>
      </c>
      <c r="D102" s="15">
        <f>Monthly!CX6</f>
        <v>548</v>
      </c>
      <c r="E102" s="15">
        <f>Monthly!CX7</f>
        <v>570</v>
      </c>
      <c r="F102" s="15">
        <f>Monthly!CX8</f>
        <v>3059</v>
      </c>
      <c r="G102" s="15">
        <f>Monthly!CX9</f>
        <v>2984</v>
      </c>
      <c r="H102" s="15">
        <f>Monthly!CX10</f>
        <v>2574</v>
      </c>
      <c r="I102" s="15">
        <f>Monthly!CX11</f>
        <v>52</v>
      </c>
      <c r="J102" s="15">
        <f>Monthly!CX12</f>
        <v>843</v>
      </c>
      <c r="K102" s="15">
        <f>Monthly!CX13</f>
        <v>1200</v>
      </c>
      <c r="L102" s="15">
        <f>Monthly!CX14</f>
        <v>10644</v>
      </c>
      <c r="M102" s="15">
        <f>Monthly!CX15</f>
        <v>0</v>
      </c>
      <c r="N102" s="15">
        <f>Monthly!CX16</f>
        <v>0</v>
      </c>
      <c r="O102" s="15">
        <f>Monthly!CX17</f>
        <v>0</v>
      </c>
    </row>
    <row r="103" spans="1:15" ht="15.75" customHeight="1">
      <c r="A103" s="11">
        <v>2022</v>
      </c>
      <c r="B103" s="11" t="s">
        <v>162</v>
      </c>
      <c r="C103" s="15">
        <f>Monthly!CY5</f>
        <v>28387</v>
      </c>
      <c r="D103" s="15">
        <f>Monthly!CY6</f>
        <v>810</v>
      </c>
      <c r="E103" s="15">
        <f>Monthly!CY7</f>
        <v>612</v>
      </c>
      <c r="F103" s="15">
        <f>Monthly!CY8</f>
        <v>3629</v>
      </c>
      <c r="G103" s="15">
        <f>Monthly!CY9</f>
        <v>4453</v>
      </c>
      <c r="H103" s="15">
        <f>Monthly!CY10</f>
        <v>3338</v>
      </c>
      <c r="I103" s="15">
        <f>Monthly!CY11</f>
        <v>83</v>
      </c>
      <c r="J103" s="15">
        <f>Monthly!CY12</f>
        <v>1260</v>
      </c>
      <c r="K103" s="15">
        <f>Monthly!CY13</f>
        <v>907</v>
      </c>
      <c r="L103" s="15">
        <f>Monthly!CY14</f>
        <v>13295</v>
      </c>
      <c r="M103" s="15">
        <f>Monthly!CY15</f>
        <v>0</v>
      </c>
      <c r="N103" s="15">
        <f>Monthly!CY16</f>
        <v>0</v>
      </c>
      <c r="O103" s="15">
        <f>Monthly!CY17</f>
        <v>0</v>
      </c>
    </row>
    <row r="104" spans="1:15" ht="15.75" customHeight="1">
      <c r="A104" s="11">
        <v>2022</v>
      </c>
      <c r="B104" s="11" t="s">
        <v>163</v>
      </c>
      <c r="C104" s="15">
        <f>Monthly!CZ5</f>
        <v>26710</v>
      </c>
      <c r="D104" s="15">
        <f>Monthly!CZ6</f>
        <v>825</v>
      </c>
      <c r="E104" s="15">
        <f>Monthly!CZ7</f>
        <v>920</v>
      </c>
      <c r="F104" s="15">
        <f>Monthly!CZ8</f>
        <v>3581</v>
      </c>
      <c r="G104" s="15">
        <f>Monthly!CZ9</f>
        <v>3788</v>
      </c>
      <c r="H104" s="15">
        <f>Monthly!CZ10</f>
        <v>3239</v>
      </c>
      <c r="I104" s="15">
        <f>Monthly!CZ11</f>
        <v>30</v>
      </c>
      <c r="J104" s="15">
        <f>Monthly!CZ12</f>
        <v>770</v>
      </c>
      <c r="K104" s="15">
        <f>Monthly!CZ13</f>
        <v>1264</v>
      </c>
      <c r="L104" s="15">
        <f>Monthly!CZ14</f>
        <v>12293</v>
      </c>
      <c r="M104" s="15">
        <f>Monthly!CZ15</f>
        <v>0</v>
      </c>
      <c r="N104" s="15">
        <f>Monthly!CZ16</f>
        <v>0</v>
      </c>
      <c r="O104" s="15">
        <f>Monthly!CZ17</f>
        <v>0</v>
      </c>
    </row>
    <row r="105" spans="1:15" ht="15.75" customHeight="1">
      <c r="A105" s="11">
        <v>2022</v>
      </c>
      <c r="B105" s="11" t="s">
        <v>164</v>
      </c>
      <c r="C105" s="15">
        <f>Monthly!DA5</f>
        <v>22159</v>
      </c>
      <c r="D105" s="15">
        <f>Monthly!DA6</f>
        <v>560</v>
      </c>
      <c r="E105" s="15">
        <f>Monthly!DA7</f>
        <v>509</v>
      </c>
      <c r="F105" s="15">
        <f>Monthly!DA8</f>
        <v>2997</v>
      </c>
      <c r="G105" s="15">
        <f>Monthly!DA9</f>
        <v>3250</v>
      </c>
      <c r="H105" s="15">
        <f>Monthly!DA10</f>
        <v>2781</v>
      </c>
      <c r="I105" s="15">
        <f>Monthly!DA11</f>
        <v>25</v>
      </c>
      <c r="J105" s="15">
        <f>Monthly!DA12</f>
        <v>957</v>
      </c>
      <c r="K105" s="15">
        <f>Monthly!DA13</f>
        <v>1138</v>
      </c>
      <c r="L105" s="15">
        <f>Monthly!DA14</f>
        <v>9942</v>
      </c>
      <c r="M105" s="15">
        <f>Monthly!DA15</f>
        <v>0</v>
      </c>
      <c r="N105" s="15">
        <f>Monthly!DA16</f>
        <v>0</v>
      </c>
      <c r="O105" s="15">
        <f>Monthly!DA17</f>
        <v>0</v>
      </c>
    </row>
    <row r="106" spans="1:15" ht="15.75" customHeight="1">
      <c r="A106" s="11">
        <v>2022</v>
      </c>
      <c r="B106" s="11" t="s">
        <v>165</v>
      </c>
      <c r="C106" s="15">
        <f>Monthly!DB5</f>
        <v>24754</v>
      </c>
      <c r="D106" s="15">
        <f>Monthly!DB6</f>
        <v>782</v>
      </c>
      <c r="E106" s="15">
        <f>Monthly!DB7</f>
        <v>645</v>
      </c>
      <c r="F106" s="15">
        <f>Monthly!DB8</f>
        <v>3425</v>
      </c>
      <c r="G106" s="15">
        <f>Monthly!DB9</f>
        <v>4178</v>
      </c>
      <c r="H106" s="15">
        <f>Monthly!DB10</f>
        <v>2999</v>
      </c>
      <c r="I106" s="15">
        <f>Monthly!DB11</f>
        <v>16</v>
      </c>
      <c r="J106" s="15">
        <f>Monthly!DB12</f>
        <v>648</v>
      </c>
      <c r="K106" s="15">
        <f>Monthly!DB13</f>
        <v>1156</v>
      </c>
      <c r="L106" s="15">
        <f>Monthly!DB14</f>
        <v>10905</v>
      </c>
      <c r="M106" s="15">
        <f>Monthly!DB15</f>
        <v>0</v>
      </c>
      <c r="N106" s="15">
        <f>Monthly!DB16</f>
        <v>0</v>
      </c>
      <c r="O106" s="15">
        <f>Monthly!DB17</f>
        <v>0</v>
      </c>
    </row>
    <row r="107" spans="1:15" ht="15.75" customHeight="1">
      <c r="A107" s="11">
        <v>2022</v>
      </c>
      <c r="B107" s="11" t="s">
        <v>166</v>
      </c>
      <c r="C107" s="15">
        <f>Monthly!DC5</f>
        <v>23343</v>
      </c>
      <c r="D107" s="15">
        <f>Monthly!DC6</f>
        <v>721</v>
      </c>
      <c r="E107" s="15">
        <f>Monthly!DC7</f>
        <v>724</v>
      </c>
      <c r="F107" s="15">
        <f>Monthly!DC8</f>
        <v>2422</v>
      </c>
      <c r="G107" s="15">
        <f>Monthly!DC9</f>
        <v>3024</v>
      </c>
      <c r="H107" s="15">
        <f>Monthly!DC10</f>
        <v>2792</v>
      </c>
      <c r="I107" s="15">
        <f>Monthly!DC11</f>
        <v>39</v>
      </c>
      <c r="J107" s="15">
        <f>Monthly!DC12</f>
        <v>866</v>
      </c>
      <c r="K107" s="15">
        <f>Monthly!DC13</f>
        <v>919</v>
      </c>
      <c r="L107" s="15">
        <f>Monthly!DC14</f>
        <v>11836</v>
      </c>
      <c r="M107" s="15">
        <f>Monthly!DC15</f>
        <v>0</v>
      </c>
      <c r="N107" s="15">
        <f>Monthly!DC16</f>
        <v>0</v>
      </c>
      <c r="O107" s="15">
        <f>Monthly!DC17</f>
        <v>0</v>
      </c>
    </row>
    <row r="108" spans="1:15" ht="15.75" customHeight="1">
      <c r="A108" s="11">
        <v>2022</v>
      </c>
      <c r="B108" s="11" t="s">
        <v>167</v>
      </c>
      <c r="C108" s="15">
        <f>Monthly!DD5</f>
        <v>12858</v>
      </c>
      <c r="D108" s="15">
        <f>Monthly!DD6</f>
        <v>310</v>
      </c>
      <c r="E108" s="15">
        <f>Monthly!DD7</f>
        <v>385</v>
      </c>
      <c r="F108" s="15">
        <f>Monthly!DD8</f>
        <v>1883</v>
      </c>
      <c r="G108" s="15">
        <f>Monthly!DD9</f>
        <v>1500</v>
      </c>
      <c r="H108" s="15">
        <f>Monthly!DD10</f>
        <v>1395</v>
      </c>
      <c r="I108" s="15">
        <f>Monthly!DD11</f>
        <v>24</v>
      </c>
      <c r="J108" s="15">
        <f>Monthly!DD12</f>
        <v>329</v>
      </c>
      <c r="K108" s="15">
        <f>Monthly!DD13</f>
        <v>623</v>
      </c>
      <c r="L108" s="15">
        <f>Monthly!DD14</f>
        <v>6409</v>
      </c>
      <c r="M108" s="15">
        <f>Monthly!DD15</f>
        <v>0</v>
      </c>
      <c r="N108" s="15">
        <f>Monthly!DD16</f>
        <v>0</v>
      </c>
      <c r="O108" s="15">
        <f>Monthly!DD17</f>
        <v>0</v>
      </c>
    </row>
    <row r="109" spans="1:15" ht="15.75" customHeight="1">
      <c r="A109" s="11">
        <v>2022</v>
      </c>
      <c r="B109" s="11" t="s">
        <v>168</v>
      </c>
      <c r="C109" s="15">
        <f>Monthly!DE5</f>
        <v>18046</v>
      </c>
      <c r="D109" s="15">
        <f>Monthly!DE6</f>
        <v>429</v>
      </c>
      <c r="E109" s="15">
        <f>Monthly!DE7</f>
        <v>551</v>
      </c>
      <c r="F109" s="15">
        <f>Monthly!DE8</f>
        <v>2342</v>
      </c>
      <c r="G109" s="15">
        <f>Monthly!DE9</f>
        <v>2632</v>
      </c>
      <c r="H109" s="15">
        <f>Monthly!DE10</f>
        <v>1928</v>
      </c>
      <c r="I109" s="15">
        <f>Monthly!DE11</f>
        <v>47</v>
      </c>
      <c r="J109" s="15">
        <f>Monthly!DE12</f>
        <v>498</v>
      </c>
      <c r="K109" s="15">
        <f>Monthly!DE13</f>
        <v>891</v>
      </c>
      <c r="L109" s="15">
        <f>Monthly!DE14</f>
        <v>8728</v>
      </c>
      <c r="M109" s="15">
        <f>Monthly!DE15</f>
        <v>0</v>
      </c>
      <c r="N109" s="15">
        <f>Monthly!DE16</f>
        <v>0</v>
      </c>
      <c r="O109" s="15">
        <f>Monthly!DE17</f>
        <v>0</v>
      </c>
    </row>
    <row r="110" spans="1:15" ht="15.75" customHeight="1">
      <c r="A110" s="11">
        <v>2022</v>
      </c>
      <c r="B110" s="11" t="s">
        <v>169</v>
      </c>
      <c r="C110" s="15">
        <f>Monthly!DF5</f>
        <v>17764</v>
      </c>
      <c r="D110" s="15">
        <f>Monthly!DF6</f>
        <v>400</v>
      </c>
      <c r="E110" s="15">
        <f>Monthly!DF7</f>
        <v>493</v>
      </c>
      <c r="F110" s="15">
        <f>Monthly!DF8</f>
        <v>2134</v>
      </c>
      <c r="G110" s="15">
        <f>Monthly!DF9</f>
        <v>2205</v>
      </c>
      <c r="H110" s="15">
        <f>Monthly!DF10</f>
        <v>2166</v>
      </c>
      <c r="I110" s="15">
        <f>Monthly!DF11</f>
        <v>27</v>
      </c>
      <c r="J110" s="15">
        <f>Monthly!DF12</f>
        <v>612</v>
      </c>
      <c r="K110" s="15">
        <f>Monthly!DF13</f>
        <v>1234</v>
      </c>
      <c r="L110" s="15">
        <f>Monthly!DF14</f>
        <v>8493</v>
      </c>
      <c r="M110" s="15">
        <f>Monthly!DF15</f>
        <v>0</v>
      </c>
      <c r="N110" s="15">
        <f>Monthly!DF16</f>
        <v>0</v>
      </c>
      <c r="O110" s="15">
        <f>Monthly!DF17</f>
        <v>0</v>
      </c>
    </row>
    <row r="111" spans="1:15" ht="15.75" customHeight="1">
      <c r="A111" s="6">
        <v>2023</v>
      </c>
      <c r="B111" s="6" t="s">
        <v>158</v>
      </c>
      <c r="C111" s="16">
        <f>Monthly!DG5</f>
        <v>16597</v>
      </c>
      <c r="D111" s="16">
        <f>Monthly!DG6</f>
        <v>307</v>
      </c>
      <c r="E111" s="16">
        <f>Monthly!DG7</f>
        <v>390</v>
      </c>
      <c r="F111" s="16">
        <f>Monthly!DG8</f>
        <v>2264</v>
      </c>
      <c r="G111" s="16">
        <f>Monthly!DG9</f>
        <v>2004</v>
      </c>
      <c r="H111" s="16">
        <f>Monthly!DG10</f>
        <v>2173</v>
      </c>
      <c r="I111" s="16">
        <f>Monthly!DG11</f>
        <v>37</v>
      </c>
      <c r="J111" s="16">
        <f>Monthly!DG12</f>
        <v>619</v>
      </c>
      <c r="K111" s="16">
        <f>Monthly!DG13</f>
        <v>636</v>
      </c>
      <c r="L111" s="16">
        <f>Monthly!DG14</f>
        <v>8167</v>
      </c>
      <c r="M111" s="17">
        <f>Monthly!DG15</f>
        <v>0</v>
      </c>
      <c r="N111" s="17">
        <f>Monthly!DG16</f>
        <v>0</v>
      </c>
      <c r="O111" s="17">
        <f>Monthly!DG17</f>
        <v>0</v>
      </c>
    </row>
    <row r="112" spans="1:15" ht="15.75" customHeight="1">
      <c r="A112" s="6">
        <v>2023</v>
      </c>
      <c r="B112" s="6" t="s">
        <v>159</v>
      </c>
      <c r="C112" s="16">
        <f>Monthly!DH5</f>
        <v>18833</v>
      </c>
      <c r="D112" s="16">
        <f>Monthly!DH6</f>
        <v>427</v>
      </c>
      <c r="E112" s="16">
        <f>Monthly!DH7</f>
        <v>355</v>
      </c>
      <c r="F112" s="16">
        <f>Monthly!DH8</f>
        <v>2991</v>
      </c>
      <c r="G112" s="16">
        <f>Monthly!DH9</f>
        <v>2321</v>
      </c>
      <c r="H112" s="16">
        <f>Monthly!DH10</f>
        <v>2654</v>
      </c>
      <c r="I112" s="16">
        <f>Monthly!DH11</f>
        <v>33</v>
      </c>
      <c r="J112" s="16">
        <f>Monthly!DH12</f>
        <v>801</v>
      </c>
      <c r="K112" s="16">
        <f>Monthly!DH13</f>
        <v>978</v>
      </c>
      <c r="L112" s="16">
        <f>Monthly!DH14</f>
        <v>8273</v>
      </c>
      <c r="M112" s="17">
        <f>Monthly!DH15</f>
        <v>0</v>
      </c>
      <c r="N112" s="17">
        <f>Monthly!DH16</f>
        <v>0</v>
      </c>
      <c r="O112" s="17">
        <f>Monthly!DH17</f>
        <v>0</v>
      </c>
    </row>
    <row r="113" spans="1:15" ht="15.75" customHeight="1">
      <c r="A113" s="6">
        <v>2023</v>
      </c>
      <c r="B113" s="6" t="s">
        <v>160</v>
      </c>
      <c r="C113" s="16">
        <f>Monthly!DI5</f>
        <v>19189</v>
      </c>
      <c r="D113" s="16">
        <f>Monthly!DI6</f>
        <v>316</v>
      </c>
      <c r="E113" s="16">
        <f>Monthly!DI7</f>
        <v>514</v>
      </c>
      <c r="F113" s="16">
        <f>Monthly!DI8</f>
        <v>3153</v>
      </c>
      <c r="G113" s="16">
        <f>Monthly!DI9</f>
        <v>2374</v>
      </c>
      <c r="H113" s="16">
        <f>Monthly!DI10</f>
        <v>2321</v>
      </c>
      <c r="I113" s="16">
        <f>Monthly!DI11</f>
        <v>27</v>
      </c>
      <c r="J113" s="16">
        <f>Monthly!DI12</f>
        <v>602</v>
      </c>
      <c r="K113" s="16">
        <f>Monthly!DI13</f>
        <v>1175</v>
      </c>
      <c r="L113" s="16">
        <f>Monthly!DI14</f>
        <v>8707</v>
      </c>
      <c r="M113" s="17">
        <f>Monthly!DI15</f>
        <v>0</v>
      </c>
      <c r="N113" s="17">
        <f>Monthly!DI16</f>
        <v>0</v>
      </c>
      <c r="O113" s="17">
        <f>Monthly!DI17</f>
        <v>0</v>
      </c>
    </row>
    <row r="114" spans="1:15" ht="15.75" customHeight="1">
      <c r="A114" s="6">
        <v>2023</v>
      </c>
      <c r="B114" s="6" t="s">
        <v>161</v>
      </c>
      <c r="C114" s="16">
        <f>Monthly!DJ5</f>
        <v>16806</v>
      </c>
      <c r="D114" s="16">
        <f>Monthly!DJ6</f>
        <v>345</v>
      </c>
      <c r="E114" s="16">
        <f>Monthly!DJ7</f>
        <v>383</v>
      </c>
      <c r="F114" s="16">
        <f>Monthly!DJ8</f>
        <v>2613</v>
      </c>
      <c r="G114" s="16">
        <f>Monthly!DJ9</f>
        <v>2056</v>
      </c>
      <c r="H114" s="16">
        <f>Monthly!DJ10</f>
        <v>1835</v>
      </c>
      <c r="I114" s="16">
        <f>Monthly!DJ11</f>
        <v>16</v>
      </c>
      <c r="J114" s="16">
        <f>Monthly!DJ12</f>
        <v>822</v>
      </c>
      <c r="K114" s="16">
        <f>Monthly!DJ13</f>
        <v>1044</v>
      </c>
      <c r="L114" s="16">
        <f>Monthly!DJ14</f>
        <v>7692</v>
      </c>
      <c r="M114" s="17">
        <f>Monthly!DJ15</f>
        <v>0</v>
      </c>
      <c r="N114" s="17">
        <f>Monthly!DJ16</f>
        <v>0</v>
      </c>
      <c r="O114" s="17">
        <f>Monthly!DJ17</f>
        <v>0</v>
      </c>
    </row>
    <row r="115" spans="1:15" ht="15.75" customHeight="1">
      <c r="A115" s="6">
        <v>2023</v>
      </c>
      <c r="B115" s="6" t="s">
        <v>162</v>
      </c>
      <c r="C115" s="16">
        <f>Monthly!DK5</f>
        <v>15989</v>
      </c>
      <c r="D115" s="16">
        <f>Monthly!DK6</f>
        <v>368</v>
      </c>
      <c r="E115" s="16">
        <f>Monthly!DK7</f>
        <v>341</v>
      </c>
      <c r="F115" s="16">
        <f>Monthly!DK8</f>
        <v>2667</v>
      </c>
      <c r="G115" s="16">
        <f>Monthly!DK9</f>
        <v>1945</v>
      </c>
      <c r="H115" s="16">
        <f>Monthly!DK10</f>
        <v>2000</v>
      </c>
      <c r="I115" s="16">
        <f>Monthly!DK11</f>
        <v>15</v>
      </c>
      <c r="J115" s="16">
        <f>Monthly!DK12</f>
        <v>553</v>
      </c>
      <c r="K115" s="16">
        <f>Monthly!DK13</f>
        <v>710</v>
      </c>
      <c r="L115" s="16">
        <f>Monthly!DK14</f>
        <v>7390</v>
      </c>
      <c r="M115" s="17">
        <f>Monthly!DK15</f>
        <v>0</v>
      </c>
      <c r="N115" s="17">
        <f>Monthly!DK16</f>
        <v>0</v>
      </c>
      <c r="O115" s="17">
        <f>Monthly!DK17</f>
        <v>0</v>
      </c>
    </row>
    <row r="116" spans="1:15" ht="15.75" customHeight="1">
      <c r="A116" s="6">
        <v>2023</v>
      </c>
      <c r="B116" s="6" t="s">
        <v>163</v>
      </c>
      <c r="C116" s="16">
        <f>Monthly!DL5</f>
        <v>16188</v>
      </c>
      <c r="D116" s="16">
        <f>Monthly!DL6</f>
        <v>367</v>
      </c>
      <c r="E116" s="16">
        <f>Monthly!DL7</f>
        <v>465</v>
      </c>
      <c r="F116" s="16">
        <f>Monthly!DL8</f>
        <v>2917</v>
      </c>
      <c r="G116" s="16">
        <f>Monthly!DL9</f>
        <v>2472</v>
      </c>
      <c r="H116" s="16">
        <f>Monthly!DL10</f>
        <v>1905</v>
      </c>
      <c r="I116" s="16">
        <f>Monthly!DL11</f>
        <v>65</v>
      </c>
      <c r="J116" s="16">
        <f>Monthly!DL12</f>
        <v>410</v>
      </c>
      <c r="K116" s="16">
        <f>Monthly!DL13</f>
        <v>557</v>
      </c>
      <c r="L116" s="16">
        <f>Monthly!DL14</f>
        <v>7030</v>
      </c>
      <c r="M116" s="17">
        <f>Monthly!DL15</f>
        <v>0</v>
      </c>
      <c r="N116" s="17">
        <f>Monthly!DL16</f>
        <v>0</v>
      </c>
      <c r="O116" s="17">
        <f>Monthly!DL17</f>
        <v>0</v>
      </c>
    </row>
    <row r="117" spans="1:15" ht="15.75" customHeight="1">
      <c r="A117" s="6">
        <v>2023</v>
      </c>
      <c r="B117" s="6" t="s">
        <v>164</v>
      </c>
      <c r="C117" s="16">
        <f>Monthly!DM5</f>
        <v>16679</v>
      </c>
      <c r="D117" s="16">
        <f>Monthly!DM6</f>
        <v>398</v>
      </c>
      <c r="E117" s="16">
        <f>Monthly!DM7</f>
        <v>487</v>
      </c>
      <c r="F117" s="16">
        <f>Monthly!DM8</f>
        <v>2762</v>
      </c>
      <c r="G117" s="16">
        <f>Monthly!DM9</f>
        <v>2739</v>
      </c>
      <c r="H117" s="16">
        <f>Monthly!DM10</f>
        <v>2109</v>
      </c>
      <c r="I117" s="16">
        <f>Monthly!DM11</f>
        <v>18</v>
      </c>
      <c r="J117" s="16">
        <f>Monthly!DM12</f>
        <v>727</v>
      </c>
      <c r="K117" s="16">
        <f>Monthly!DM13</f>
        <v>616</v>
      </c>
      <c r="L117" s="16">
        <f>Monthly!DM14</f>
        <v>6823</v>
      </c>
      <c r="M117" s="17">
        <f>Monthly!DM15</f>
        <v>0</v>
      </c>
      <c r="N117" s="17">
        <f>Monthly!DM16</f>
        <v>0</v>
      </c>
      <c r="O117" s="17">
        <f>Monthly!DM17</f>
        <v>0</v>
      </c>
    </row>
    <row r="118" spans="1:15" ht="15.75" customHeight="1">
      <c r="A118" s="6">
        <v>2023</v>
      </c>
      <c r="B118" s="6" t="s">
        <v>165</v>
      </c>
      <c r="C118" s="16">
        <f>Monthly!DN5</f>
        <v>14002</v>
      </c>
      <c r="D118" s="16">
        <f>Monthly!DN6</f>
        <v>441</v>
      </c>
      <c r="E118" s="16">
        <f>Monthly!DN7</f>
        <v>462</v>
      </c>
      <c r="F118" s="16">
        <f>Monthly!DN8</f>
        <v>2387</v>
      </c>
      <c r="G118" s="16">
        <f>Monthly!DN9</f>
        <v>1788</v>
      </c>
      <c r="H118" s="16">
        <f>Monthly!DN10</f>
        <v>1698</v>
      </c>
      <c r="I118" s="16">
        <f>Monthly!DN11</f>
        <v>11</v>
      </c>
      <c r="J118" s="16">
        <f>Monthly!DN12</f>
        <v>451</v>
      </c>
      <c r="K118" s="16">
        <f>Monthly!DN13</f>
        <v>503</v>
      </c>
      <c r="L118" s="16">
        <f>Monthly!DN14</f>
        <v>6261</v>
      </c>
      <c r="M118" s="17">
        <f>Monthly!DN15</f>
        <v>0</v>
      </c>
      <c r="N118" s="17">
        <f>Monthly!DN16</f>
        <v>0</v>
      </c>
      <c r="O118" s="17">
        <f>Monthly!DN17</f>
        <v>0</v>
      </c>
    </row>
    <row r="119" spans="1:15" ht="15.75" customHeight="1">
      <c r="A119" s="6">
        <v>2023</v>
      </c>
      <c r="B119" s="6" t="s">
        <v>166</v>
      </c>
      <c r="C119" s="16">
        <f>Monthly!DO5</f>
        <v>11189</v>
      </c>
      <c r="D119" s="16">
        <f>Monthly!DO6</f>
        <v>252</v>
      </c>
      <c r="E119" s="16">
        <f>Monthly!DO7</f>
        <v>442</v>
      </c>
      <c r="F119" s="16">
        <f>Monthly!DO8</f>
        <v>2218</v>
      </c>
      <c r="G119" s="16">
        <f>Monthly!DO9</f>
        <v>1331</v>
      </c>
      <c r="H119" s="16">
        <f>Monthly!DO10</f>
        <v>1281</v>
      </c>
      <c r="I119" s="16">
        <f>Monthly!DO11</f>
        <v>13</v>
      </c>
      <c r="J119" s="16">
        <f>Monthly!DO12</f>
        <v>417</v>
      </c>
      <c r="K119" s="16">
        <f>Monthly!DO13</f>
        <v>429</v>
      </c>
      <c r="L119" s="16">
        <f>Monthly!DO14</f>
        <v>4806</v>
      </c>
      <c r="M119" s="17">
        <f>Monthly!DO15</f>
        <v>0</v>
      </c>
      <c r="N119" s="17">
        <f>Monthly!DO16</f>
        <v>0</v>
      </c>
      <c r="O119" s="17">
        <f>Monthly!DO17</f>
        <v>0</v>
      </c>
    </row>
    <row r="120" spans="1:15" ht="15.75" customHeight="1">
      <c r="A120" s="6">
        <v>2023</v>
      </c>
      <c r="B120" s="6" t="s">
        <v>167</v>
      </c>
      <c r="C120" s="16">
        <f>Monthly!DP5</f>
        <v>11998</v>
      </c>
      <c r="D120" s="16">
        <f>Monthly!DP6</f>
        <v>325</v>
      </c>
      <c r="E120" s="16">
        <f>Monthly!DP7</f>
        <v>330</v>
      </c>
      <c r="F120" s="16">
        <f>Monthly!DP8</f>
        <v>2281</v>
      </c>
      <c r="G120" s="16">
        <f>Monthly!DP9</f>
        <v>1442</v>
      </c>
      <c r="H120" s="16">
        <f>Monthly!DP10</f>
        <v>1434</v>
      </c>
      <c r="I120" s="16">
        <f>Monthly!DP11</f>
        <v>13</v>
      </c>
      <c r="J120" s="16">
        <f>Monthly!DP12</f>
        <v>342</v>
      </c>
      <c r="K120" s="16">
        <f>Monthly!DP13</f>
        <v>591</v>
      </c>
      <c r="L120" s="16">
        <f>Monthly!DP14</f>
        <v>5240</v>
      </c>
      <c r="M120" s="17">
        <f>Monthly!DP15</f>
        <v>0</v>
      </c>
      <c r="N120" s="17">
        <f>Monthly!DP16</f>
        <v>0</v>
      </c>
      <c r="O120" s="17">
        <f>Monthly!DP17</f>
        <v>0</v>
      </c>
    </row>
    <row r="121" spans="1:15" ht="15.75" customHeight="1">
      <c r="A121" s="6">
        <v>2023</v>
      </c>
      <c r="B121" s="6" t="s">
        <v>168</v>
      </c>
      <c r="C121" s="16">
        <f>Monthly!DQ5</f>
        <v>13849</v>
      </c>
      <c r="D121" s="16">
        <f>Monthly!DQ6</f>
        <v>338</v>
      </c>
      <c r="E121" s="16">
        <f>Monthly!DQ7</f>
        <v>331</v>
      </c>
      <c r="F121" s="16">
        <f>Monthly!DQ8</f>
        <v>2488</v>
      </c>
      <c r="G121" s="16">
        <f>Monthly!DQ9</f>
        <v>1803</v>
      </c>
      <c r="H121" s="16">
        <f>Monthly!DQ10</f>
        <v>1823</v>
      </c>
      <c r="I121" s="16">
        <f>Monthly!DQ11</f>
        <v>13</v>
      </c>
      <c r="J121" s="16">
        <f>Monthly!DQ12</f>
        <v>476</v>
      </c>
      <c r="K121" s="16">
        <f>Monthly!DQ13</f>
        <v>745</v>
      </c>
      <c r="L121" s="16">
        <f>Monthly!DQ14</f>
        <v>5832</v>
      </c>
      <c r="M121" s="17">
        <f>Monthly!DQ15</f>
        <v>0</v>
      </c>
      <c r="N121" s="17">
        <f>Monthly!DQ16</f>
        <v>0</v>
      </c>
      <c r="O121" s="17">
        <f>Monthly!DQ17</f>
        <v>0</v>
      </c>
    </row>
    <row r="122" spans="1:15" ht="15.75" customHeight="1">
      <c r="A122" s="6">
        <v>2023</v>
      </c>
      <c r="B122" s="6" t="s">
        <v>169</v>
      </c>
      <c r="C122" s="16">
        <f>Monthly!DR5</f>
        <v>13315</v>
      </c>
      <c r="D122" s="16">
        <f>Monthly!DR6</f>
        <v>315</v>
      </c>
      <c r="E122" s="16">
        <f>Monthly!DR7</f>
        <v>245</v>
      </c>
      <c r="F122" s="16">
        <f>Monthly!DR8</f>
        <v>2533</v>
      </c>
      <c r="G122" s="16">
        <f>Monthly!DR9</f>
        <v>1950</v>
      </c>
      <c r="H122" s="16">
        <f>Monthly!DR10</f>
        <v>1562</v>
      </c>
      <c r="I122" s="16">
        <f>Monthly!DR11</f>
        <v>32</v>
      </c>
      <c r="J122" s="16">
        <f>Monthly!DR12</f>
        <v>439</v>
      </c>
      <c r="K122" s="16">
        <f>Monthly!DR13</f>
        <v>543</v>
      </c>
      <c r="L122" s="16">
        <f>Monthly!DR14</f>
        <v>5696</v>
      </c>
      <c r="M122" s="17">
        <f>Monthly!DR15</f>
        <v>0</v>
      </c>
      <c r="N122" s="17">
        <f>Monthly!DR16</f>
        <v>0</v>
      </c>
      <c r="O122" s="17">
        <f>Monthly!DR17</f>
        <v>0</v>
      </c>
    </row>
    <row r="123" spans="1:15" ht="15.75" customHeight="1">
      <c r="A123" s="6">
        <v>2024</v>
      </c>
      <c r="B123" s="6" t="s">
        <v>158</v>
      </c>
      <c r="C123" s="17">
        <f>Monthly!DS5</f>
        <v>15134</v>
      </c>
      <c r="D123" s="17">
        <f>Monthly!DS6</f>
        <v>389</v>
      </c>
      <c r="E123" s="17">
        <f>Monthly!DS7</f>
        <v>296</v>
      </c>
      <c r="F123" s="17">
        <f>Monthly!DS8</f>
        <v>2699</v>
      </c>
      <c r="G123" s="17">
        <f>Monthly!DS9</f>
        <v>1835</v>
      </c>
      <c r="H123" s="17">
        <f>Monthly!DS10</f>
        <v>1934</v>
      </c>
      <c r="I123" s="17">
        <f>Monthly!DS11</f>
        <v>19</v>
      </c>
      <c r="J123" s="17">
        <f>Monthly!DS12</f>
        <v>494</v>
      </c>
      <c r="K123" s="17">
        <f>Monthly!DS13</f>
        <v>892</v>
      </c>
      <c r="L123" s="17">
        <f>Monthly!DS14</f>
        <v>6576</v>
      </c>
      <c r="M123" s="17">
        <f>Monthly!DS15</f>
        <v>0</v>
      </c>
      <c r="N123" s="17">
        <f>Monthly!DS16</f>
        <v>0</v>
      </c>
      <c r="O123" s="17">
        <f>Monthly!DS17</f>
        <v>0</v>
      </c>
    </row>
    <row r="124" spans="1:15" ht="15.75" customHeight="1">
      <c r="A124" s="6">
        <v>2024</v>
      </c>
      <c r="B124" s="6" t="s">
        <v>159</v>
      </c>
      <c r="C124" s="17">
        <f>Monthly!DT5</f>
        <v>16508</v>
      </c>
      <c r="D124" s="17">
        <f>Monthly!DT6</f>
        <v>357</v>
      </c>
      <c r="E124" s="17">
        <f>Monthly!DT7</f>
        <v>411</v>
      </c>
      <c r="F124" s="17">
        <f>Monthly!DT8</f>
        <v>2996</v>
      </c>
      <c r="G124" s="17">
        <f>Monthly!DT9</f>
        <v>2094</v>
      </c>
      <c r="H124" s="17">
        <f>Monthly!DT10</f>
        <v>1785</v>
      </c>
      <c r="I124" s="17">
        <f>Monthly!DT11</f>
        <v>31</v>
      </c>
      <c r="J124" s="17">
        <f>Monthly!DT12</f>
        <v>564</v>
      </c>
      <c r="K124" s="17">
        <f>Monthly!DT13</f>
        <v>798</v>
      </c>
      <c r="L124" s="17">
        <f>Monthly!DT14</f>
        <v>7472</v>
      </c>
      <c r="M124" s="17">
        <f>Monthly!DT15</f>
        <v>0</v>
      </c>
      <c r="N124" s="17">
        <f>Monthly!DT16</f>
        <v>0</v>
      </c>
      <c r="O124" s="17">
        <f>Monthly!DT17</f>
        <v>0</v>
      </c>
    </row>
    <row r="125" spans="1:15" ht="15.75" customHeight="1">
      <c r="A125" s="6">
        <v>2024</v>
      </c>
      <c r="B125" s="6" t="s">
        <v>160</v>
      </c>
      <c r="C125" s="17">
        <f>Monthly!DU5</f>
        <v>15739</v>
      </c>
      <c r="D125" s="17">
        <f>Monthly!DU6</f>
        <v>233</v>
      </c>
      <c r="E125" s="17">
        <f>Monthly!DU7</f>
        <v>338</v>
      </c>
      <c r="F125" s="17">
        <f>Monthly!DU8</f>
        <v>2691</v>
      </c>
      <c r="G125" s="17">
        <f>Monthly!DU9</f>
        <v>2299</v>
      </c>
      <c r="H125" s="17">
        <f>Monthly!DU10</f>
        <v>2041</v>
      </c>
      <c r="I125" s="17">
        <f>Monthly!DU11</f>
        <v>12</v>
      </c>
      <c r="J125" s="17">
        <f>Monthly!DU12</f>
        <v>547</v>
      </c>
      <c r="K125" s="17">
        <f>Monthly!DU13</f>
        <v>829</v>
      </c>
      <c r="L125" s="17">
        <f>Monthly!DU14</f>
        <v>6749</v>
      </c>
      <c r="M125" s="17">
        <f>Monthly!DU15</f>
        <v>0</v>
      </c>
      <c r="N125" s="17">
        <f>Monthly!DU16</f>
        <v>0</v>
      </c>
      <c r="O125" s="17">
        <f>Monthly!DU17</f>
        <v>0</v>
      </c>
    </row>
    <row r="126" spans="1:15" ht="15.75" customHeight="1">
      <c r="A126" s="6">
        <v>2024</v>
      </c>
      <c r="B126" s="6" t="s">
        <v>161</v>
      </c>
      <c r="C126" s="17">
        <f>Monthly!DV5</f>
        <v>15646</v>
      </c>
      <c r="D126" s="17">
        <f>Monthly!DV6</f>
        <v>205</v>
      </c>
      <c r="E126" s="17">
        <f>Monthly!DV7</f>
        <v>449</v>
      </c>
      <c r="F126" s="17">
        <f>Monthly!DV8</f>
        <v>2756</v>
      </c>
      <c r="G126" s="17">
        <f>Monthly!DV9</f>
        <v>2058</v>
      </c>
      <c r="H126" s="17">
        <f>Monthly!DV10</f>
        <v>2263</v>
      </c>
      <c r="I126" s="17">
        <f>Monthly!DV11</f>
        <v>21</v>
      </c>
      <c r="J126" s="17">
        <f>Monthly!DV12</f>
        <v>522</v>
      </c>
      <c r="K126" s="17">
        <f>Monthly!DV13</f>
        <v>676</v>
      </c>
      <c r="L126" s="17">
        <f>Monthly!DV14</f>
        <v>6696</v>
      </c>
      <c r="M126" s="17">
        <f>Monthly!DV15</f>
        <v>0</v>
      </c>
      <c r="N126" s="17">
        <f>Monthly!DV16</f>
        <v>0</v>
      </c>
      <c r="O126" s="17">
        <f>Monthly!DV17</f>
        <v>0</v>
      </c>
    </row>
    <row r="127" spans="1:15" ht="15.75" customHeight="1">
      <c r="A127" s="6">
        <v>2024</v>
      </c>
      <c r="B127" s="6" t="s">
        <v>162</v>
      </c>
      <c r="C127" s="17">
        <f>Monthly!DW5</f>
        <v>15665</v>
      </c>
      <c r="D127" s="17">
        <f>Monthly!DW6</f>
        <v>160</v>
      </c>
      <c r="E127" s="17">
        <f>Monthly!DW7</f>
        <v>387</v>
      </c>
      <c r="F127" s="17">
        <f>Monthly!DW8</f>
        <v>2580</v>
      </c>
      <c r="G127" s="17">
        <f>Monthly!DW9</f>
        <v>1959</v>
      </c>
      <c r="H127" s="17">
        <f>Monthly!DW10</f>
        <v>2023</v>
      </c>
      <c r="I127" s="17">
        <f>Monthly!DW11</f>
        <v>37</v>
      </c>
      <c r="J127" s="17">
        <f>Monthly!DW12</f>
        <v>545</v>
      </c>
      <c r="K127" s="17">
        <f>Monthly!DW13</f>
        <v>814</v>
      </c>
      <c r="L127" s="17">
        <f>Monthly!DW14</f>
        <v>7160</v>
      </c>
      <c r="M127" s="17">
        <f>Monthly!DW15</f>
        <v>0</v>
      </c>
      <c r="N127" s="17">
        <f>Monthly!DW16</f>
        <v>0</v>
      </c>
      <c r="O127" s="17">
        <f>Monthly!DW17</f>
        <v>0</v>
      </c>
    </row>
    <row r="128" spans="1:15" ht="15.75" customHeight="1">
      <c r="A128" s="6">
        <v>2024</v>
      </c>
      <c r="B128" s="6" t="s">
        <v>163</v>
      </c>
      <c r="C128" s="17">
        <f>Monthly!DX5</f>
        <v>19261</v>
      </c>
      <c r="D128" s="17">
        <f>Monthly!DX6</f>
        <v>254</v>
      </c>
      <c r="E128" s="17">
        <f>Monthly!DX7</f>
        <v>445</v>
      </c>
      <c r="F128" s="17">
        <f>Monthly!DX8</f>
        <v>3431</v>
      </c>
      <c r="G128" s="17">
        <f>Monthly!DX9</f>
        <v>2778</v>
      </c>
      <c r="H128" s="17">
        <f>Monthly!DX10</f>
        <v>2310</v>
      </c>
      <c r="I128" s="17">
        <f>Monthly!DX11</f>
        <v>11</v>
      </c>
      <c r="J128" s="17">
        <f>Monthly!DX12</f>
        <v>638</v>
      </c>
      <c r="K128" s="17">
        <f>Monthly!DX13</f>
        <v>1097</v>
      </c>
      <c r="L128" s="17">
        <f>Monthly!DX14</f>
        <v>8297</v>
      </c>
      <c r="M128" s="17">
        <f>Monthly!DX15</f>
        <v>0</v>
      </c>
      <c r="N128" s="17">
        <f>Monthly!DX16</f>
        <v>0</v>
      </c>
      <c r="O128" s="17">
        <f>Monthly!DX17</f>
        <v>0</v>
      </c>
    </row>
    <row r="129" spans="1:15" ht="15.75" customHeight="1">
      <c r="A129" s="6">
        <v>2024</v>
      </c>
      <c r="B129" s="6" t="s">
        <v>164</v>
      </c>
      <c r="C129" s="17">
        <f>Monthly!DY5</f>
        <v>18616</v>
      </c>
      <c r="D129" s="17">
        <f>Monthly!DY6</f>
        <v>201</v>
      </c>
      <c r="E129" s="17">
        <f>Monthly!DY7</f>
        <v>479</v>
      </c>
      <c r="F129" s="17">
        <f>Monthly!DY8</f>
        <v>2703</v>
      </c>
      <c r="G129" s="17">
        <f>Monthly!DY9</f>
        <v>2524</v>
      </c>
      <c r="H129" s="17">
        <f>Monthly!DY10</f>
        <v>2224</v>
      </c>
      <c r="I129" s="17">
        <f>Monthly!DY11</f>
        <v>8</v>
      </c>
      <c r="J129" s="17">
        <f>Monthly!DY12</f>
        <v>531</v>
      </c>
      <c r="K129" s="17">
        <f>Monthly!DY13</f>
        <v>845</v>
      </c>
      <c r="L129" s="17">
        <f>Monthly!DY14</f>
        <v>9101</v>
      </c>
      <c r="M129" s="17">
        <f>Monthly!DY15</f>
        <v>0</v>
      </c>
      <c r="N129" s="17">
        <f>Monthly!DY16</f>
        <v>0</v>
      </c>
      <c r="O129" s="17">
        <f>Monthly!DY17</f>
        <v>0</v>
      </c>
    </row>
    <row r="130" spans="1:15" ht="15.75" customHeight="1">
      <c r="A130" s="6">
        <v>2024</v>
      </c>
      <c r="B130" s="6" t="s">
        <v>165</v>
      </c>
      <c r="C130" s="17">
        <f>Monthly!DZ5</f>
        <v>16257</v>
      </c>
      <c r="D130" s="17">
        <f>Monthly!DZ6</f>
        <v>207</v>
      </c>
      <c r="E130" s="17">
        <f>Monthly!DZ7</f>
        <v>426</v>
      </c>
      <c r="F130" s="17">
        <f>Monthly!DZ8</f>
        <v>2589</v>
      </c>
      <c r="G130" s="17">
        <f>Monthly!DZ9</f>
        <v>2427</v>
      </c>
      <c r="H130" s="17">
        <f>Monthly!DZ10</f>
        <v>1758</v>
      </c>
      <c r="I130" s="17">
        <f>Monthly!DZ11</f>
        <v>112</v>
      </c>
      <c r="J130" s="17">
        <f>Monthly!DZ12</f>
        <v>479</v>
      </c>
      <c r="K130" s="17">
        <f>Monthly!DZ13</f>
        <v>815</v>
      </c>
      <c r="L130" s="17">
        <f>Monthly!DZ14</f>
        <v>7444</v>
      </c>
      <c r="M130" s="17">
        <f>Monthly!DZ15</f>
        <v>0</v>
      </c>
      <c r="N130" s="17">
        <f>Monthly!DZ16</f>
        <v>0</v>
      </c>
      <c r="O130" s="17">
        <f>Monthly!DZ17</f>
        <v>0</v>
      </c>
    </row>
    <row r="131" spans="1:15" ht="15.75" customHeight="1">
      <c r="A131" s="6">
        <v>2024</v>
      </c>
      <c r="B131" s="6" t="s">
        <v>166</v>
      </c>
      <c r="C131" s="17">
        <f>Monthly!EA5</f>
        <v>13786</v>
      </c>
      <c r="D131" s="17">
        <f>Monthly!EA6</f>
        <v>126</v>
      </c>
      <c r="E131" s="17">
        <f>Monthly!EA7</f>
        <v>433</v>
      </c>
      <c r="F131" s="17">
        <f>Monthly!EA8</f>
        <v>2292</v>
      </c>
      <c r="G131" s="17">
        <f>Monthly!EA9</f>
        <v>1869</v>
      </c>
      <c r="H131" s="17">
        <f>Monthly!EA10</f>
        <v>1560</v>
      </c>
      <c r="I131" s="17">
        <f>Monthly!EA11</f>
        <v>9</v>
      </c>
      <c r="J131" s="17">
        <f>Monthly!EA12</f>
        <v>494</v>
      </c>
      <c r="K131" s="17">
        <f>Monthly!EA13</f>
        <v>534</v>
      </c>
      <c r="L131" s="17">
        <f>Monthly!EA14</f>
        <v>6469</v>
      </c>
      <c r="M131" s="17">
        <f>Monthly!EA15</f>
        <v>0</v>
      </c>
      <c r="N131" s="17">
        <f>Monthly!EA16</f>
        <v>0</v>
      </c>
      <c r="O131" s="17">
        <f>Monthly!EA17</f>
        <v>0</v>
      </c>
    </row>
    <row r="132" spans="1:15" ht="15.75" customHeight="1">
      <c r="A132" s="6">
        <v>2024</v>
      </c>
      <c r="B132" s="6" t="s">
        <v>167</v>
      </c>
      <c r="C132" s="17">
        <f>Monthly!EB5</f>
        <v>13204</v>
      </c>
      <c r="D132" s="17">
        <f>Monthly!EB6</f>
        <v>197</v>
      </c>
      <c r="E132" s="17">
        <f>Monthly!EB7</f>
        <v>275</v>
      </c>
      <c r="F132" s="17">
        <f>Monthly!EB8</f>
        <v>2322</v>
      </c>
      <c r="G132" s="17">
        <f>Monthly!EB9</f>
        <v>1644</v>
      </c>
      <c r="H132" s="17">
        <f>Monthly!EB10</f>
        <v>1673</v>
      </c>
      <c r="I132" s="17">
        <f>Monthly!EB11</f>
        <v>19</v>
      </c>
      <c r="J132" s="17">
        <f>Monthly!EB12</f>
        <v>357</v>
      </c>
      <c r="K132" s="17">
        <f>Monthly!EB13</f>
        <v>713</v>
      </c>
      <c r="L132" s="17">
        <f>Monthly!EB14</f>
        <v>6004</v>
      </c>
      <c r="M132" s="17">
        <f>Monthly!EB15</f>
        <v>0</v>
      </c>
      <c r="N132" s="17">
        <f>Monthly!EB16</f>
        <v>0</v>
      </c>
      <c r="O132" s="17">
        <f>Monthly!EB17</f>
        <v>0</v>
      </c>
    </row>
    <row r="133" spans="1:15" ht="15.75" customHeight="1">
      <c r="A133" s="6">
        <v>2024</v>
      </c>
      <c r="B133" s="6" t="s">
        <v>168</v>
      </c>
      <c r="C133" s="17">
        <f>Monthly!EC5</f>
        <v>16355</v>
      </c>
      <c r="D133" s="17">
        <f>Monthly!EC6</f>
        <v>237</v>
      </c>
      <c r="E133" s="17">
        <f>Monthly!EC7</f>
        <v>479</v>
      </c>
      <c r="F133" s="17">
        <f>Monthly!EC8</f>
        <v>2881</v>
      </c>
      <c r="G133" s="17">
        <f>Monthly!EC9</f>
        <v>2627</v>
      </c>
      <c r="H133" s="17">
        <f>Monthly!EC10</f>
        <v>2099</v>
      </c>
      <c r="I133" s="17">
        <f>Monthly!EC11</f>
        <v>97</v>
      </c>
      <c r="J133" s="17">
        <f>Monthly!EC12</f>
        <v>459</v>
      </c>
      <c r="K133" s="17">
        <f>Monthly!EC13</f>
        <v>743</v>
      </c>
      <c r="L133" s="17">
        <f>Monthly!EC14</f>
        <v>6733</v>
      </c>
      <c r="M133" s="17">
        <f>Monthly!EC15</f>
        <v>0</v>
      </c>
      <c r="N133" s="17">
        <f>Monthly!EC16</f>
        <v>0</v>
      </c>
      <c r="O133" s="17">
        <f>Monthly!EC17</f>
        <v>0</v>
      </c>
    </row>
    <row r="134" spans="1:15" ht="15.75" customHeight="1">
      <c r="A134" s="6">
        <v>2024</v>
      </c>
      <c r="B134" s="6" t="s">
        <v>169</v>
      </c>
      <c r="C134" s="17">
        <f>Monthly!ED5</f>
        <v>15936</v>
      </c>
      <c r="D134" s="17">
        <f>Monthly!ED6</f>
        <v>241</v>
      </c>
      <c r="E134" s="17">
        <f>Monthly!ED7</f>
        <v>408</v>
      </c>
      <c r="F134" s="17">
        <f>Monthly!ED8</f>
        <v>2727</v>
      </c>
      <c r="G134" s="17">
        <f>Monthly!ED9</f>
        <v>2035</v>
      </c>
      <c r="H134" s="17">
        <f>Monthly!ED10</f>
        <v>2248</v>
      </c>
      <c r="I134" s="17">
        <f>Monthly!ED11</f>
        <v>95</v>
      </c>
      <c r="J134" s="17">
        <f>Monthly!ED12</f>
        <v>547</v>
      </c>
      <c r="K134" s="17">
        <f>Monthly!ED13</f>
        <v>760</v>
      </c>
      <c r="L134" s="17">
        <f>Monthly!ED14</f>
        <v>6875</v>
      </c>
      <c r="M134" s="17">
        <f>Monthly!ED15</f>
        <v>0</v>
      </c>
      <c r="N134" s="17">
        <f>Monthly!ED16</f>
        <v>0</v>
      </c>
      <c r="O134" s="17">
        <f>Monthly!ED17</f>
        <v>0</v>
      </c>
    </row>
    <row r="135" spans="1:15" ht="15.75" customHeight="1">
      <c r="A135" s="6">
        <v>2025</v>
      </c>
      <c r="B135" s="6" t="s">
        <v>158</v>
      </c>
      <c r="C135">
        <f>Monthly!EE5</f>
        <v>14968</v>
      </c>
      <c r="D135">
        <f>Monthly!EE6</f>
        <v>150</v>
      </c>
      <c r="E135">
        <f>Monthly!EE7</f>
        <v>378</v>
      </c>
      <c r="F135">
        <f>Monthly!EE8</f>
        <v>2546</v>
      </c>
      <c r="G135">
        <f>Monthly!EE9</f>
        <v>2018</v>
      </c>
      <c r="H135">
        <f>Monthly!EE10</f>
        <v>1902</v>
      </c>
      <c r="I135">
        <f>Monthly!EE11</f>
        <v>27</v>
      </c>
      <c r="J135">
        <f>Monthly!EE12</f>
        <v>352</v>
      </c>
      <c r="K135">
        <f>Monthly!EE13</f>
        <v>854</v>
      </c>
      <c r="L135">
        <f>Monthly!EE14</f>
        <v>6741</v>
      </c>
      <c r="M135" s="39">
        <f>Monthly!EE15</f>
        <v>0</v>
      </c>
      <c r="N135" s="39">
        <f>Monthly!EE16</f>
        <v>0</v>
      </c>
      <c r="O135" s="39">
        <f>Monthly!EE17</f>
        <v>0</v>
      </c>
    </row>
    <row r="136" spans="1:15" ht="15.75" customHeight="1">
      <c r="A136" s="6">
        <v>2025</v>
      </c>
      <c r="B136" s="6" t="s">
        <v>159</v>
      </c>
      <c r="C136">
        <f>Monthly!EF5</f>
        <v>16479</v>
      </c>
      <c r="D136">
        <f>Monthly!EF6</f>
        <v>148</v>
      </c>
      <c r="E136">
        <f>Monthly!EF7</f>
        <v>424</v>
      </c>
      <c r="F136">
        <f>Monthly!EF8</f>
        <v>2945</v>
      </c>
      <c r="G136">
        <f>Monthly!EF9</f>
        <v>2291</v>
      </c>
      <c r="H136">
        <f>Monthly!EF10</f>
        <v>2056</v>
      </c>
      <c r="I136">
        <f>Monthly!EF11</f>
        <v>20</v>
      </c>
      <c r="J136">
        <f>Monthly!EF12</f>
        <v>422</v>
      </c>
      <c r="K136">
        <f>Monthly!EF13</f>
        <v>795</v>
      </c>
      <c r="L136">
        <f>Monthly!EF14</f>
        <v>7378</v>
      </c>
      <c r="M136" s="39">
        <f>Monthly!EF15</f>
        <v>0</v>
      </c>
      <c r="N136" s="39">
        <f>Monthly!EF16</f>
        <v>0</v>
      </c>
      <c r="O136" s="39">
        <f>Monthly!EF17</f>
        <v>0</v>
      </c>
    </row>
    <row r="137" spans="1:15" ht="15.75" customHeight="1">
      <c r="A137" s="6">
        <v>2025</v>
      </c>
      <c r="B137" s="6" t="s">
        <v>160</v>
      </c>
      <c r="C137">
        <f>Monthly!EG5</f>
        <v>17028</v>
      </c>
      <c r="D137">
        <f>Monthly!EG6</f>
        <v>171</v>
      </c>
      <c r="E137">
        <f>Monthly!EG7</f>
        <v>436</v>
      </c>
      <c r="F137">
        <f>Monthly!EG8</f>
        <v>2921</v>
      </c>
      <c r="G137">
        <f>Monthly!EG9</f>
        <v>2400</v>
      </c>
      <c r="H137">
        <f>Monthly!EG10</f>
        <v>2244</v>
      </c>
      <c r="I137">
        <f>Monthly!EG11</f>
        <v>67</v>
      </c>
      <c r="J137">
        <f>Monthly!EG12</f>
        <v>575</v>
      </c>
      <c r="K137">
        <f>Monthly!EG13</f>
        <v>797</v>
      </c>
      <c r="L137">
        <f>Monthly!EG14</f>
        <v>7417</v>
      </c>
      <c r="M137" s="39">
        <f>Monthly!EG15</f>
        <v>0</v>
      </c>
      <c r="N137" s="39">
        <f>Monthly!EG16</f>
        <v>0</v>
      </c>
      <c r="O137" s="39">
        <f>Monthly!EG17</f>
        <v>0</v>
      </c>
    </row>
    <row r="138" spans="1:15" ht="15.75" customHeight="1">
      <c r="A138" s="6">
        <v>2025</v>
      </c>
      <c r="B138" s="6" t="s">
        <v>161</v>
      </c>
      <c r="C138">
        <f>Monthly!EH5</f>
        <v>16076</v>
      </c>
      <c r="D138">
        <f>Monthly!EH6</f>
        <v>184</v>
      </c>
      <c r="E138">
        <f>Monthly!EH7</f>
        <v>495</v>
      </c>
      <c r="F138">
        <f>Monthly!EH8</f>
        <v>2293</v>
      </c>
      <c r="G138">
        <f>Monthly!EH9</f>
        <v>2244</v>
      </c>
      <c r="H138">
        <f>Monthly!EH10</f>
        <v>2180</v>
      </c>
      <c r="I138">
        <f>Monthly!EH11</f>
        <v>39</v>
      </c>
      <c r="J138">
        <f>Monthly!EH12</f>
        <v>545</v>
      </c>
      <c r="K138">
        <f>Monthly!EH13</f>
        <v>657</v>
      </c>
      <c r="L138">
        <f>Monthly!EH14</f>
        <v>7439</v>
      </c>
      <c r="M138" s="39">
        <f>Monthly!EH15</f>
        <v>0</v>
      </c>
      <c r="N138" s="39">
        <f>Monthly!EH16</f>
        <v>0</v>
      </c>
      <c r="O138" s="39">
        <f>Monthly!EH17</f>
        <v>0</v>
      </c>
    </row>
    <row r="139" spans="1:15" ht="15.75" customHeight="1">
      <c r="A139" s="6">
        <v>2025</v>
      </c>
      <c r="B139" s="6" t="s">
        <v>162</v>
      </c>
      <c r="C139">
        <f>Monthly!EI5</f>
        <v>15981</v>
      </c>
      <c r="D139">
        <f>Monthly!EI6</f>
        <v>165</v>
      </c>
      <c r="E139">
        <f>Monthly!EI7</f>
        <v>481</v>
      </c>
      <c r="F139">
        <f>Monthly!EI8</f>
        <v>2786</v>
      </c>
      <c r="G139">
        <f>Monthly!EI9</f>
        <v>2298</v>
      </c>
      <c r="H139">
        <f>Monthly!EI10</f>
        <v>1991</v>
      </c>
      <c r="I139">
        <f>Monthly!EI11</f>
        <v>12</v>
      </c>
      <c r="J139">
        <f>Monthly!EI12</f>
        <v>620</v>
      </c>
      <c r="K139">
        <f>Monthly!EI13</f>
        <v>685</v>
      </c>
      <c r="L139">
        <f>Monthly!EI14</f>
        <v>6943</v>
      </c>
      <c r="M139" s="39">
        <f>Monthly!EI15</f>
        <v>0</v>
      </c>
      <c r="N139" s="39">
        <f>Monthly!EI16</f>
        <v>0</v>
      </c>
      <c r="O139" s="39">
        <f>Monthly!EI17</f>
        <v>0</v>
      </c>
    </row>
    <row r="140" spans="1:15" ht="15.75" customHeight="1">
      <c r="A140" s="6">
        <v>2025</v>
      </c>
      <c r="B140" s="6" t="s">
        <v>163</v>
      </c>
      <c r="C140">
        <f>Monthly!EJ5</f>
        <v>19060</v>
      </c>
      <c r="D140">
        <f>Monthly!EJ6</f>
        <v>195</v>
      </c>
      <c r="E140">
        <f>Monthly!EJ7</f>
        <v>519</v>
      </c>
      <c r="F140">
        <f>Monthly!EJ8</f>
        <v>3305</v>
      </c>
      <c r="G140">
        <f>Monthly!EJ9</f>
        <v>2741</v>
      </c>
      <c r="H140">
        <f>Monthly!EJ10</f>
        <v>2368</v>
      </c>
      <c r="I140">
        <f>Monthly!EJ11</f>
        <v>16</v>
      </c>
      <c r="J140">
        <f>Monthly!EJ12</f>
        <v>540</v>
      </c>
      <c r="K140">
        <f>Monthly!EJ13</f>
        <v>792</v>
      </c>
      <c r="L140">
        <f>Monthly!EJ14</f>
        <v>8584</v>
      </c>
      <c r="M140" s="39">
        <f>Monthly!EJ15</f>
        <v>0</v>
      </c>
      <c r="N140" s="39">
        <f>Monthly!EJ16</f>
        <v>0</v>
      </c>
      <c r="O140" s="39">
        <f>Monthly!EJ17</f>
        <v>0</v>
      </c>
    </row>
    <row r="141" spans="1:15" ht="15.75" customHeight="1">
      <c r="A141" s="6">
        <v>2025</v>
      </c>
      <c r="B141" s="6" t="s">
        <v>164</v>
      </c>
      <c r="C141">
        <f>Monthly!EK5</f>
        <v>15499</v>
      </c>
      <c r="D141">
        <f>Monthly!EK6</f>
        <v>207</v>
      </c>
      <c r="E141">
        <f>Monthly!EK7</f>
        <v>471</v>
      </c>
      <c r="F141">
        <f>Monthly!EK8</f>
        <v>2733</v>
      </c>
      <c r="G141">
        <f>Monthly!EK9</f>
        <v>2228</v>
      </c>
      <c r="H141">
        <f>Monthly!EK10</f>
        <v>1958</v>
      </c>
      <c r="I141">
        <f>Monthly!EK11</f>
        <v>28</v>
      </c>
      <c r="J141">
        <f>Monthly!EK12</f>
        <v>480</v>
      </c>
      <c r="K141">
        <f>Monthly!EK13</f>
        <v>723</v>
      </c>
      <c r="L141">
        <f>Monthly!EK14</f>
        <v>6671</v>
      </c>
      <c r="M141" s="39">
        <f>Monthly!EK15</f>
        <v>0</v>
      </c>
      <c r="N141" s="39">
        <f>Monthly!EK16</f>
        <v>0</v>
      </c>
      <c r="O141" s="39">
        <f>Monthly!EK17</f>
        <v>0</v>
      </c>
    </row>
    <row r="142" spans="1:15" ht="15.75" customHeight="1">
      <c r="A142" s="6">
        <v>2025</v>
      </c>
      <c r="B142" s="6" t="s">
        <v>165</v>
      </c>
      <c r="C142">
        <f>Monthly!EL5</f>
        <v>12288</v>
      </c>
      <c r="D142">
        <f>Monthly!EL6</f>
        <v>144</v>
      </c>
      <c r="E142">
        <f>Monthly!EL7</f>
        <v>333</v>
      </c>
      <c r="F142">
        <f>Monthly!EL8</f>
        <v>2163</v>
      </c>
      <c r="G142">
        <f>Monthly!EL9</f>
        <v>1784</v>
      </c>
      <c r="H142">
        <f>Monthly!EL10</f>
        <v>1248</v>
      </c>
      <c r="I142">
        <f>Monthly!EL11</f>
        <v>19</v>
      </c>
      <c r="J142">
        <f>Monthly!EL12</f>
        <v>497</v>
      </c>
      <c r="K142">
        <f>Monthly!EL13</f>
        <v>590</v>
      </c>
      <c r="L142">
        <f>Monthly!EL14</f>
        <v>5510</v>
      </c>
      <c r="M142" s="39">
        <f>Monthly!EL15</f>
        <v>0</v>
      </c>
      <c r="N142" s="39">
        <f>Monthly!EL16</f>
        <v>0</v>
      </c>
      <c r="O142" s="39">
        <f>Monthly!EL17</f>
        <v>0</v>
      </c>
    </row>
    <row r="143" spans="1:15" ht="15.75" customHeight="1">
      <c r="A143" s="6">
        <v>2025</v>
      </c>
      <c r="B143" s="6" t="s">
        <v>166</v>
      </c>
      <c r="C143">
        <f>Monthly!EM5</f>
        <v>8974</v>
      </c>
      <c r="D143">
        <f>Monthly!EM6</f>
        <v>87</v>
      </c>
      <c r="E143">
        <f>Monthly!EM7</f>
        <v>256</v>
      </c>
      <c r="F143">
        <f>Monthly!EM8</f>
        <v>1701</v>
      </c>
      <c r="G143">
        <f>Monthly!EM9</f>
        <v>1166</v>
      </c>
      <c r="H143">
        <f>Monthly!EM10</f>
        <v>1320</v>
      </c>
      <c r="I143">
        <f>Monthly!EM11</f>
        <v>14</v>
      </c>
      <c r="J143">
        <f>Monthly!EM12</f>
        <v>334</v>
      </c>
      <c r="K143">
        <f>Monthly!EM13</f>
        <v>506</v>
      </c>
      <c r="L143">
        <f>Monthly!EM14</f>
        <v>3590</v>
      </c>
      <c r="M143" s="39">
        <f>Monthly!EM15</f>
        <v>0</v>
      </c>
      <c r="N143" s="39">
        <f>Monthly!EM16</f>
        <v>0</v>
      </c>
      <c r="O143" s="39">
        <f>Monthly!EM17</f>
        <v>0</v>
      </c>
    </row>
    <row r="144" spans="1:15" ht="15.75" customHeight="1">
      <c r="A144" s="6">
        <v>2025</v>
      </c>
      <c r="B144" s="6" t="s">
        <v>167</v>
      </c>
      <c r="C144">
        <f>Monthly!EN5</f>
        <v>13545</v>
      </c>
      <c r="D144">
        <f>Monthly!EN6</f>
        <v>321</v>
      </c>
      <c r="E144">
        <f>Monthly!EN7</f>
        <v>297</v>
      </c>
      <c r="F144">
        <f>Monthly!EN8</f>
        <v>2131</v>
      </c>
      <c r="G144">
        <f>Monthly!EN9</f>
        <v>1872</v>
      </c>
      <c r="H144">
        <f>Monthly!EN10</f>
        <v>1530</v>
      </c>
      <c r="I144">
        <f>Monthly!EN11</f>
        <v>17</v>
      </c>
      <c r="J144">
        <f>Monthly!EN12</f>
        <v>307</v>
      </c>
      <c r="K144">
        <f>Monthly!EN13</f>
        <v>759</v>
      </c>
      <c r="L144">
        <f>Monthly!EN14</f>
        <v>6311</v>
      </c>
      <c r="M144" s="39">
        <f>Monthly!EN15</f>
        <v>0</v>
      </c>
      <c r="N144" s="39">
        <f>Monthly!EN16</f>
        <v>0</v>
      </c>
      <c r="O144" s="39">
        <f>Monthly!EN17</f>
        <v>0</v>
      </c>
    </row>
    <row r="145" spans="1:15" ht="15.75" customHeight="1">
      <c r="A145" s="6">
        <v>2025</v>
      </c>
      <c r="B145" s="6" t="s">
        <v>168</v>
      </c>
      <c r="C145">
        <f>Monthly!EO5</f>
        <v>16636</v>
      </c>
      <c r="D145">
        <f>Monthly!EO6</f>
        <v>219</v>
      </c>
      <c r="E145">
        <f>Monthly!EO7</f>
        <v>403</v>
      </c>
      <c r="F145">
        <f>Monthly!EO8</f>
        <v>2851</v>
      </c>
      <c r="G145">
        <f>Monthly!EO9</f>
        <v>2366</v>
      </c>
      <c r="H145">
        <f>Monthly!EO10</f>
        <v>1995</v>
      </c>
      <c r="I145">
        <f>Monthly!EO11</f>
        <v>34</v>
      </c>
      <c r="J145">
        <f>Monthly!EO12</f>
        <v>503</v>
      </c>
      <c r="K145">
        <f>Monthly!EO13</f>
        <v>954</v>
      </c>
      <c r="L145">
        <f>Monthly!EO14</f>
        <v>7311</v>
      </c>
      <c r="M145" s="39">
        <f>Monthly!EO15</f>
        <v>0</v>
      </c>
      <c r="N145" s="39">
        <f>Monthly!EO16</f>
        <v>0</v>
      </c>
      <c r="O145" s="39">
        <f>Monthly!EO17</f>
        <v>0</v>
      </c>
    </row>
    <row r="146" spans="1:15" ht="15.75" customHeight="1">
      <c r="A146" s="6">
        <v>2025</v>
      </c>
      <c r="B146" s="6" t="s">
        <v>169</v>
      </c>
      <c r="C146">
        <f>Monthly!EP5</f>
        <v>18235</v>
      </c>
      <c r="D146">
        <f>Monthly!EP6</f>
        <v>165</v>
      </c>
      <c r="E146">
        <f>Monthly!EP7</f>
        <v>383</v>
      </c>
      <c r="F146">
        <f>Monthly!EP8</f>
        <v>2935</v>
      </c>
      <c r="G146">
        <f>Monthly!EP9</f>
        <v>2401</v>
      </c>
      <c r="H146">
        <f>Monthly!EP10</f>
        <v>2321</v>
      </c>
      <c r="I146">
        <f>Monthly!EP11</f>
        <v>4</v>
      </c>
      <c r="J146">
        <f>Monthly!EP12</f>
        <v>547</v>
      </c>
      <c r="K146">
        <f>Monthly!EP13</f>
        <v>910</v>
      </c>
      <c r="L146">
        <f>Monthly!EP14</f>
        <v>8569</v>
      </c>
      <c r="M146" s="39">
        <f>Monthly!EP15</f>
        <v>0</v>
      </c>
      <c r="N146" s="39">
        <f>Monthly!EP16</f>
        <v>0</v>
      </c>
      <c r="O146" s="39">
        <f>Monthly!EP17</f>
        <v>0</v>
      </c>
    </row>
    <row r="147" spans="1:15" ht="15.75" customHeight="1">
      <c r="A147" s="6">
        <v>2026</v>
      </c>
      <c r="B147" s="6" t="s">
        <v>158</v>
      </c>
      <c r="C147">
        <f>Monthly!EQ5</f>
        <v>15064</v>
      </c>
      <c r="D147">
        <f>Monthly!EQ6</f>
        <v>126</v>
      </c>
      <c r="E147">
        <f>Monthly!EQ7</f>
        <v>288</v>
      </c>
      <c r="F147">
        <f>Monthly!EQ8</f>
        <v>2207</v>
      </c>
      <c r="G147">
        <f>Monthly!EQ9</f>
        <v>1871</v>
      </c>
      <c r="H147">
        <f>Monthly!EQ10</f>
        <v>2612</v>
      </c>
      <c r="I147">
        <f>Monthly!EQ11</f>
        <v>21</v>
      </c>
      <c r="J147">
        <f>Monthly!EQ12</f>
        <v>407</v>
      </c>
      <c r="K147">
        <f>Monthly!EQ13</f>
        <v>500</v>
      </c>
      <c r="L147">
        <f>Monthly!EQ14</f>
        <v>7032</v>
      </c>
      <c r="M147" s="39">
        <f>Monthly!EQ15</f>
        <v>0</v>
      </c>
      <c r="N147" s="39">
        <f>Monthly!EQ16</f>
        <v>0</v>
      </c>
      <c r="O147" s="39">
        <f>Monthly!EQ17</f>
        <v>0</v>
      </c>
    </row>
    <row r="148" spans="1:15" ht="15.75" customHeight="1">
      <c r="A148" s="6">
        <v>2026</v>
      </c>
      <c r="B148" s="6" t="s">
        <v>159</v>
      </c>
      <c r="C148">
        <f>Monthly!ER5</f>
        <v>17935</v>
      </c>
      <c r="D148">
        <f>Monthly!ER6</f>
        <v>323</v>
      </c>
      <c r="E148">
        <f>Monthly!ER7</f>
        <v>507</v>
      </c>
      <c r="F148">
        <f>Monthly!ER8</f>
        <v>3460</v>
      </c>
      <c r="G148">
        <f>Monthly!ER9</f>
        <v>2484</v>
      </c>
      <c r="H148">
        <f>Monthly!ER10</f>
        <v>2434</v>
      </c>
      <c r="I148">
        <f>Monthly!ER11</f>
        <v>32</v>
      </c>
      <c r="J148">
        <f>Monthly!ER12</f>
        <v>444</v>
      </c>
      <c r="K148">
        <f>Monthly!ER13</f>
        <v>496</v>
      </c>
      <c r="L148">
        <f>Monthly!ER14</f>
        <v>7755</v>
      </c>
      <c r="M148" s="39">
        <f>Monthly!ER15</f>
        <v>0</v>
      </c>
      <c r="N148" s="39">
        <f>Monthly!ER16</f>
        <v>0</v>
      </c>
      <c r="O148" s="39">
        <f>Monthly!ER17</f>
        <v>0</v>
      </c>
    </row>
    <row r="149" spans="1:15" ht="15.75" customHeight="1">
      <c r="A149" s="6">
        <v>2026</v>
      </c>
      <c r="B149" s="6" t="s">
        <v>160</v>
      </c>
      <c r="C149">
        <f>Monthly!ES5</f>
        <v>17378</v>
      </c>
      <c r="D149">
        <f>Monthly!ES6</f>
        <v>119</v>
      </c>
      <c r="E149">
        <f>Monthly!ES7</f>
        <v>616</v>
      </c>
      <c r="F149">
        <f>Monthly!ES8</f>
        <v>2917</v>
      </c>
      <c r="G149">
        <f>Monthly!ES9</f>
        <v>2500</v>
      </c>
      <c r="H149">
        <f>Monthly!ES10</f>
        <v>2282</v>
      </c>
      <c r="I149">
        <f>Monthly!ES11</f>
        <v>34</v>
      </c>
      <c r="J149">
        <f>Monthly!ES12</f>
        <v>412</v>
      </c>
      <c r="K149">
        <f>Monthly!ES13</f>
        <v>552</v>
      </c>
      <c r="L149">
        <f>Monthly!ES14</f>
        <v>7946</v>
      </c>
      <c r="M149">
        <f>Monthly!ES15</f>
        <v>0</v>
      </c>
      <c r="N149">
        <f>Monthly!ES16</f>
        <v>0</v>
      </c>
      <c r="O149">
        <f>Monthly!ES17</f>
        <v>0</v>
      </c>
    </row>
    <row r="150" spans="1:15" ht="15.75" customHeight="1">
      <c r="A150" s="6">
        <v>2026</v>
      </c>
      <c r="B150" s="6" t="s">
        <v>161</v>
      </c>
      <c r="C150" t="e">
        <f>Monthly!#REF!</f>
        <v>#REF!</v>
      </c>
      <c r="D150" t="e">
        <f>Monthly!#REF!</f>
        <v>#REF!</v>
      </c>
      <c r="E150" t="e">
        <f>Monthly!#REF!</f>
        <v>#REF!</v>
      </c>
      <c r="F150" t="e">
        <f>Monthly!#REF!</f>
        <v>#REF!</v>
      </c>
      <c r="G150" t="e">
        <f>Monthly!#REF!</f>
        <v>#REF!</v>
      </c>
      <c r="H150" t="e">
        <f>Monthly!#REF!</f>
        <v>#REF!</v>
      </c>
      <c r="I150" t="e">
        <f>Monthly!#REF!</f>
        <v>#REF!</v>
      </c>
      <c r="J150" t="e">
        <f>Monthly!#REF!</f>
        <v>#REF!</v>
      </c>
      <c r="K150" t="e">
        <f>Monthly!#REF!</f>
        <v>#REF!</v>
      </c>
      <c r="L150" t="e">
        <f>Monthly!#REF!</f>
        <v>#REF!</v>
      </c>
      <c r="M150" t="e">
        <f>Monthly!#REF!</f>
        <v>#REF!</v>
      </c>
      <c r="N150" t="e">
        <f>Monthly!#REF!</f>
        <v>#REF!</v>
      </c>
      <c r="O150" t="e">
        <f>Monthly!#REF!</f>
        <v>#REF!</v>
      </c>
    </row>
    <row r="151" spans="1:15" ht="15.75" customHeight="1">
      <c r="A151" s="6">
        <v>2026</v>
      </c>
      <c r="B151" s="6" t="s">
        <v>162</v>
      </c>
      <c r="C151">
        <f>Monthly!ET5</f>
        <v>16051</v>
      </c>
      <c r="D151">
        <f>Monthly!ET6</f>
        <v>177</v>
      </c>
      <c r="E151">
        <f>Monthly!ET7</f>
        <v>372</v>
      </c>
      <c r="F151">
        <f>Monthly!ET8</f>
        <v>2445</v>
      </c>
      <c r="G151">
        <f>Monthly!ET9</f>
        <v>2226</v>
      </c>
      <c r="H151">
        <f>Monthly!ET10</f>
        <v>2399</v>
      </c>
      <c r="I151">
        <f>Monthly!ET11</f>
        <v>5</v>
      </c>
      <c r="J151">
        <f>Monthly!ET12</f>
        <v>417</v>
      </c>
      <c r="K151">
        <f>Monthly!ET13</f>
        <v>614</v>
      </c>
      <c r="L151">
        <f>Monthly!ET14</f>
        <v>7396</v>
      </c>
      <c r="M151">
        <f>Monthly!ET15</f>
        <v>0</v>
      </c>
      <c r="N151">
        <f>Monthly!ET16</f>
        <v>0</v>
      </c>
      <c r="O151">
        <f>Monthly!ET17</f>
        <v>0</v>
      </c>
    </row>
    <row r="152" spans="1:15" ht="15.75" customHeight="1">
      <c r="A152" s="6">
        <v>2026</v>
      </c>
      <c r="B152" s="6" t="s">
        <v>163</v>
      </c>
      <c r="C152">
        <f>Monthly!EU5</f>
        <v>16225</v>
      </c>
      <c r="D152">
        <f>Monthly!EU6</f>
        <v>285</v>
      </c>
      <c r="E152">
        <f>Monthly!EU7</f>
        <v>444</v>
      </c>
      <c r="F152">
        <f>Monthly!EU8</f>
        <v>2490</v>
      </c>
      <c r="G152">
        <f>Monthly!EU9</f>
        <v>2519</v>
      </c>
      <c r="H152">
        <f>Monthly!EU10</f>
        <v>2154</v>
      </c>
      <c r="I152">
        <f>Monthly!EU11</f>
        <v>24</v>
      </c>
      <c r="J152">
        <f>Monthly!EU12</f>
        <v>471</v>
      </c>
      <c r="K152">
        <f>Monthly!EU13</f>
        <v>503</v>
      </c>
      <c r="L152">
        <f>Monthly!EU14</f>
        <v>7335</v>
      </c>
      <c r="M152">
        <f>Monthly!EU15</f>
        <v>0</v>
      </c>
      <c r="N152">
        <f>Monthly!EU16</f>
        <v>0</v>
      </c>
      <c r="O152">
        <f>Monthly!EU17</f>
        <v>0</v>
      </c>
    </row>
    <row r="153" spans="1:15" ht="15.75" customHeight="1">
      <c r="A153" s="6">
        <v>2026</v>
      </c>
      <c r="B153" s="6" t="s">
        <v>164</v>
      </c>
      <c r="C153">
        <f>Monthly!EV5</f>
        <v>15308</v>
      </c>
      <c r="D153">
        <f>Monthly!EV6</f>
        <v>258</v>
      </c>
      <c r="E153">
        <f>Monthly!EV7</f>
        <v>453</v>
      </c>
      <c r="F153">
        <f>Monthly!EV8</f>
        <v>2674</v>
      </c>
      <c r="G153">
        <f>Monthly!EV9</f>
        <v>2310</v>
      </c>
      <c r="H153">
        <f>Monthly!EV10</f>
        <v>1890</v>
      </c>
      <c r="I153">
        <f>Monthly!EV11</f>
        <v>13</v>
      </c>
      <c r="J153">
        <f>Monthly!EV12</f>
        <v>383</v>
      </c>
      <c r="K153">
        <f>Monthly!EV13</f>
        <v>442</v>
      </c>
      <c r="L153">
        <f>Monthly!EV14</f>
        <v>6885</v>
      </c>
      <c r="M153">
        <f>Monthly!EV15</f>
        <v>0</v>
      </c>
      <c r="N153">
        <f>Monthly!EV16</f>
        <v>0</v>
      </c>
      <c r="O153">
        <f>Monthly!EV17</f>
        <v>0</v>
      </c>
    </row>
    <row r="154" spans="1:15" ht="15.75" customHeight="1">
      <c r="A154" s="6">
        <v>2026</v>
      </c>
      <c r="B154" s="6" t="s">
        <v>165</v>
      </c>
      <c r="C154">
        <f>Monthly!EW5</f>
        <v>12892</v>
      </c>
      <c r="D154">
        <f>Monthly!EW6</f>
        <v>157</v>
      </c>
      <c r="E154">
        <f>Monthly!EW7</f>
        <v>368</v>
      </c>
      <c r="F154">
        <f>Monthly!EW8</f>
        <v>2031</v>
      </c>
      <c r="G154">
        <f>Monthly!EW9</f>
        <v>2055</v>
      </c>
      <c r="H154">
        <f>Monthly!EW10</f>
        <v>1587</v>
      </c>
      <c r="I154">
        <f>Monthly!EW11</f>
        <v>17</v>
      </c>
      <c r="J154">
        <f>Monthly!EW12</f>
        <v>439</v>
      </c>
      <c r="K154">
        <f>Monthly!EW13</f>
        <v>481</v>
      </c>
      <c r="L154">
        <f>Monthly!EW14</f>
        <v>5757</v>
      </c>
      <c r="M154">
        <f>Monthly!EW15</f>
        <v>0</v>
      </c>
      <c r="N154">
        <f>Monthly!EW16</f>
        <v>0</v>
      </c>
      <c r="O154">
        <f>Monthly!EW17</f>
        <v>0</v>
      </c>
    </row>
    <row r="155" spans="1:15" ht="15.75" customHeight="1">
      <c r="A155" s="6">
        <v>2026</v>
      </c>
      <c r="B155" s="6" t="s">
        <v>166</v>
      </c>
      <c r="C155">
        <f>Monthly!EX5</f>
        <v>10068</v>
      </c>
      <c r="D155">
        <f>Monthly!EX6</f>
        <v>145</v>
      </c>
      <c r="E155">
        <f>Monthly!EX7</f>
        <v>223</v>
      </c>
      <c r="F155">
        <f>Monthly!EX8</f>
        <v>1761</v>
      </c>
      <c r="G155">
        <f>Monthly!EX9</f>
        <v>1533</v>
      </c>
      <c r="H155">
        <f>Monthly!EX10</f>
        <v>1384</v>
      </c>
      <c r="I155">
        <f>Monthly!EX11</f>
        <v>4</v>
      </c>
      <c r="J155">
        <f>Monthly!EX12</f>
        <v>264</v>
      </c>
      <c r="K155">
        <f>Monthly!EX13</f>
        <v>391</v>
      </c>
      <c r="L155">
        <f>Monthly!EX14</f>
        <v>4363</v>
      </c>
      <c r="M155">
        <f>Monthly!EX15</f>
        <v>0</v>
      </c>
      <c r="N155">
        <f>Monthly!EX16</f>
        <v>0</v>
      </c>
      <c r="O155">
        <f>Monthly!EX17</f>
        <v>0</v>
      </c>
    </row>
    <row r="156" spans="1:15" ht="15.75" customHeight="1">
      <c r="A156" s="6">
        <v>2026</v>
      </c>
      <c r="B156" s="6" t="s">
        <v>167</v>
      </c>
      <c r="C156">
        <f>Monthly!EY5</f>
        <v>0</v>
      </c>
      <c r="D156">
        <f>Monthly!EY6</f>
        <v>0</v>
      </c>
      <c r="E156">
        <f>Monthly!EY7</f>
        <v>0</v>
      </c>
      <c r="F156">
        <f>Monthly!EY8</f>
        <v>0</v>
      </c>
      <c r="G156">
        <f>Monthly!EY9</f>
        <v>0</v>
      </c>
      <c r="H156">
        <f>Monthly!EY10</f>
        <v>0</v>
      </c>
      <c r="I156">
        <f>Monthly!EY11</f>
        <v>0</v>
      </c>
      <c r="J156">
        <f>Monthly!EY12</f>
        <v>0</v>
      </c>
      <c r="K156">
        <f>Monthly!EY13</f>
        <v>0</v>
      </c>
      <c r="L156">
        <f>Monthly!EY14</f>
        <v>0</v>
      </c>
      <c r="M156">
        <f>Monthly!EY15</f>
        <v>0</v>
      </c>
      <c r="N156">
        <f>Monthly!EY16</f>
        <v>0</v>
      </c>
      <c r="O156">
        <f>Monthly!EY17</f>
        <v>0</v>
      </c>
    </row>
    <row r="157" spans="1:15" ht="15.75" customHeight="1">
      <c r="A157" s="6">
        <v>2026</v>
      </c>
      <c r="B157" s="6" t="s">
        <v>168</v>
      </c>
      <c r="C157">
        <f>Monthly!EZ5</f>
        <v>0</v>
      </c>
      <c r="D157">
        <f>Monthly!EZ6</f>
        <v>0</v>
      </c>
      <c r="E157">
        <f>Monthly!EZ7</f>
        <v>0</v>
      </c>
      <c r="F157">
        <f>Monthly!EZ8</f>
        <v>0</v>
      </c>
      <c r="G157">
        <f>Monthly!EZ9</f>
        <v>0</v>
      </c>
      <c r="H157">
        <f>Monthly!EZ10</f>
        <v>0</v>
      </c>
      <c r="I157">
        <f>Monthly!EZ11</f>
        <v>0</v>
      </c>
      <c r="J157">
        <f>Monthly!EZ12</f>
        <v>0</v>
      </c>
      <c r="K157">
        <f>Monthly!EZ13</f>
        <v>0</v>
      </c>
      <c r="L157">
        <f>Monthly!EZ14</f>
        <v>0</v>
      </c>
      <c r="M157">
        <f>Monthly!EZ15</f>
        <v>0</v>
      </c>
      <c r="N157">
        <f>Monthly!EZ16</f>
        <v>0</v>
      </c>
      <c r="O157">
        <f>Monthly!EZ17</f>
        <v>0</v>
      </c>
    </row>
    <row r="158" spans="1:15" ht="15.75" customHeight="1">
      <c r="A158" s="6">
        <v>2026</v>
      </c>
      <c r="B158" s="6" t="s">
        <v>169</v>
      </c>
      <c r="C158">
        <f>Monthly!FA5</f>
        <v>0</v>
      </c>
      <c r="D158">
        <f>Monthly!FA6</f>
        <v>0</v>
      </c>
      <c r="E158">
        <f>Monthly!FA7</f>
        <v>0</v>
      </c>
      <c r="F158">
        <f>Monthly!FA8</f>
        <v>0</v>
      </c>
      <c r="G158">
        <f>Monthly!FA9</f>
        <v>0</v>
      </c>
      <c r="H158">
        <f>Monthly!FA10</f>
        <v>0</v>
      </c>
      <c r="I158">
        <f>Monthly!FA11</f>
        <v>0</v>
      </c>
      <c r="J158">
        <f>Monthly!FA12</f>
        <v>0</v>
      </c>
      <c r="K158">
        <f>Monthly!FA13</f>
        <v>0</v>
      </c>
      <c r="L158">
        <f>Monthly!FA14</f>
        <v>0</v>
      </c>
      <c r="M158">
        <f>Monthly!FA15</f>
        <v>0</v>
      </c>
      <c r="N158">
        <f>Monthly!FA16</f>
        <v>0</v>
      </c>
      <c r="O158">
        <f>Monthly!FA17</f>
        <v>0</v>
      </c>
    </row>
    <row r="159" spans="1:15" ht="15.75" customHeight="1"/>
    <row r="160" spans="1:1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1" width="8.7109375" customWidth="1"/>
    <col min="2" max="2" width="8.28515625" customWidth="1"/>
    <col min="3" max="3" width="9.85546875" customWidth="1"/>
    <col min="4" max="4" width="35.42578125" customWidth="1"/>
    <col min="5" max="26" width="8.7109375" customWidth="1"/>
  </cols>
  <sheetData>
    <row r="1" spans="1:4">
      <c r="A1" s="6" t="s">
        <v>154</v>
      </c>
    </row>
    <row r="2" spans="1:4" ht="18" customHeight="1">
      <c r="A2" s="18" t="s">
        <v>170</v>
      </c>
      <c r="B2" s="18" t="s">
        <v>171</v>
      </c>
      <c r="C2" s="18" t="s">
        <v>172</v>
      </c>
      <c r="D2" s="18" t="s">
        <v>173</v>
      </c>
    </row>
    <row r="3" spans="1:4" ht="18" customHeight="1">
      <c r="A3" s="19">
        <v>1</v>
      </c>
      <c r="B3" s="20" t="s">
        <v>155</v>
      </c>
      <c r="C3" s="20" t="s">
        <v>174</v>
      </c>
      <c r="D3" s="20" t="s">
        <v>175</v>
      </c>
    </row>
    <row r="4" spans="1:4" ht="18" customHeight="1">
      <c r="A4" s="19">
        <v>2</v>
      </c>
      <c r="B4" s="20" t="s">
        <v>156</v>
      </c>
      <c r="C4" s="20" t="s">
        <v>174</v>
      </c>
      <c r="D4" s="20" t="s">
        <v>176</v>
      </c>
    </row>
    <row r="5" spans="1:4" ht="18" customHeight="1">
      <c r="A5" s="19">
        <v>3</v>
      </c>
      <c r="B5" s="21">
        <v>1</v>
      </c>
      <c r="C5" s="20" t="s">
        <v>177</v>
      </c>
      <c r="D5" s="22" t="s">
        <v>178</v>
      </c>
    </row>
    <row r="6" spans="1:4" ht="18" customHeight="1">
      <c r="A6" s="19">
        <v>4</v>
      </c>
      <c r="B6" s="21">
        <v>2</v>
      </c>
      <c r="C6" s="20" t="s">
        <v>177</v>
      </c>
      <c r="D6" s="22" t="s">
        <v>179</v>
      </c>
    </row>
    <row r="7" spans="1:4" ht="18" customHeight="1">
      <c r="A7" s="19">
        <v>5</v>
      </c>
      <c r="B7" s="21">
        <v>3</v>
      </c>
      <c r="C7" s="20" t="s">
        <v>177</v>
      </c>
      <c r="D7" s="22" t="s">
        <v>139</v>
      </c>
    </row>
    <row r="8" spans="1:4" ht="18" customHeight="1">
      <c r="A8" s="19">
        <v>6</v>
      </c>
      <c r="B8" s="21">
        <v>4</v>
      </c>
      <c r="C8" s="20" t="s">
        <v>177</v>
      </c>
      <c r="D8" s="22" t="s">
        <v>140</v>
      </c>
    </row>
    <row r="9" spans="1:4" ht="18" customHeight="1">
      <c r="A9" s="19">
        <v>7</v>
      </c>
      <c r="B9" s="21">
        <v>5</v>
      </c>
      <c r="C9" s="20" t="s">
        <v>177</v>
      </c>
      <c r="D9" s="22" t="s">
        <v>141</v>
      </c>
    </row>
    <row r="10" spans="1:4" ht="18" customHeight="1">
      <c r="A10" s="19">
        <v>8</v>
      </c>
      <c r="B10" s="21">
        <v>6</v>
      </c>
      <c r="C10" s="20" t="s">
        <v>177</v>
      </c>
      <c r="D10" s="22" t="s">
        <v>180</v>
      </c>
    </row>
    <row r="11" spans="1:4" ht="18" customHeight="1">
      <c r="A11" s="19">
        <v>9</v>
      </c>
      <c r="B11" s="21">
        <v>7</v>
      </c>
      <c r="C11" s="20" t="s">
        <v>177</v>
      </c>
      <c r="D11" s="22" t="s">
        <v>181</v>
      </c>
    </row>
    <row r="12" spans="1:4" ht="18" customHeight="1">
      <c r="A12" s="19">
        <v>10</v>
      </c>
      <c r="B12" s="21">
        <v>8</v>
      </c>
      <c r="C12" s="20" t="s">
        <v>177</v>
      </c>
      <c r="D12" s="23" t="s">
        <v>182</v>
      </c>
    </row>
    <row r="13" spans="1:4" ht="18" customHeight="1">
      <c r="A13" s="19">
        <v>11</v>
      </c>
      <c r="B13" s="21">
        <v>9</v>
      </c>
      <c r="C13" s="20" t="s">
        <v>177</v>
      </c>
      <c r="D13" s="22" t="s">
        <v>145</v>
      </c>
    </row>
    <row r="14" spans="1:4" ht="18" customHeight="1">
      <c r="A14" s="19">
        <v>12</v>
      </c>
      <c r="B14" s="21" t="s">
        <v>183</v>
      </c>
      <c r="C14" s="20" t="s">
        <v>177</v>
      </c>
      <c r="D14" s="22" t="s">
        <v>147</v>
      </c>
    </row>
    <row r="15" spans="1:4" ht="18" customHeight="1">
      <c r="A15" s="19">
        <v>13</v>
      </c>
      <c r="B15" s="21" t="s">
        <v>148</v>
      </c>
      <c r="C15" s="20" t="s">
        <v>177</v>
      </c>
      <c r="D15" s="22" t="s">
        <v>184</v>
      </c>
    </row>
    <row r="16" spans="1:4" ht="18" customHeight="1">
      <c r="A16" s="19">
        <v>14</v>
      </c>
      <c r="B16" s="21">
        <v>0</v>
      </c>
      <c r="C16" s="20" t="s">
        <v>177</v>
      </c>
      <c r="D16" s="22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CSV</vt:lpstr>
      <vt:lpstr>Data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DOE</cp:lastModifiedBy>
  <cp:lastPrinted>2026-06-16T02:38:37Z</cp:lastPrinted>
  <dcterms:created xsi:type="dcterms:W3CDTF">2019-01-29T03:17:44Z</dcterms:created>
  <dcterms:modified xsi:type="dcterms:W3CDTF">2026-09-18T06:46:23Z</dcterms:modified>
</cp:coreProperties>
</file>